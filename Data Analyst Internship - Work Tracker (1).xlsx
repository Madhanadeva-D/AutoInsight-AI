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33666155-DD9E-4E4A-9096-C8011883B36A}" xr6:coauthVersionLast="47" xr6:coauthVersionMax="47" xr10:uidLastSave="{00000000-0000-0000-0000-000000000000}"/>
  <bookViews>
    <workbookView xWindow="0" yWindow="0" windowWidth="16384" windowHeight="8192" tabRatio="500" activeTab="1" xr2:uid="{00000000-000D-0000-FFFF-FFFF00000000}"/>
  </bookViews>
  <sheets>
    <sheet name="Work Tracker" sheetId="1" r:id="rId1"/>
    <sheet name="Dashboard" sheetId="2" r:id="rId2"/>
    <sheet name="Lists" sheetId="3" r:id="rId3"/>
  </sheets>
  <definedNames>
    <definedName name="Assigned_By">Lists!$B$5:$B$10</definedName>
    <definedName name="Priority">Lists!$F$5:$F$7</definedName>
    <definedName name="Status">Lists!$E$5:$E$8</definedName>
    <definedName name="Team_Area">Lists!$C$5:$C$11</definedName>
    <definedName name="Work_Source">Lists!$D$5:$D$10</definedName>
    <definedName name="Work_Type">Lists!$A$5:$A$15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30" i="1" l="1"/>
  <c r="B130" i="1"/>
  <c r="M129" i="1"/>
  <c r="B129" i="1"/>
  <c r="M128" i="1"/>
  <c r="B128" i="1"/>
  <c r="M127" i="1"/>
  <c r="B127" i="1"/>
  <c r="M126" i="1"/>
  <c r="B126" i="1"/>
  <c r="M125" i="1"/>
  <c r="B125" i="1"/>
  <c r="M124" i="1"/>
  <c r="B124" i="1"/>
  <c r="M123" i="1"/>
  <c r="B123" i="1"/>
  <c r="M122" i="1"/>
  <c r="B122" i="1"/>
  <c r="M121" i="1"/>
  <c r="B121" i="1"/>
  <c r="M120" i="1"/>
  <c r="B120" i="1"/>
  <c r="M119" i="1"/>
  <c r="B119" i="1"/>
  <c r="M118" i="1"/>
  <c r="B118" i="1"/>
  <c r="M117" i="1"/>
  <c r="B117" i="1"/>
  <c r="M116" i="1"/>
  <c r="B116" i="1"/>
  <c r="M115" i="1"/>
  <c r="B115" i="1"/>
  <c r="M114" i="1"/>
  <c r="B114" i="1"/>
  <c r="M113" i="1"/>
  <c r="B113" i="1"/>
  <c r="M112" i="1"/>
  <c r="B112" i="1"/>
  <c r="M111" i="1"/>
  <c r="B111" i="1"/>
  <c r="M110" i="1"/>
  <c r="B110" i="1"/>
  <c r="M109" i="1"/>
  <c r="B109" i="1"/>
  <c r="M108" i="1"/>
  <c r="B108" i="1"/>
  <c r="M107" i="1"/>
  <c r="B107" i="1"/>
  <c r="M106" i="1"/>
  <c r="B106" i="1"/>
  <c r="M105" i="1"/>
  <c r="B105" i="1"/>
  <c r="M104" i="1"/>
  <c r="B104" i="1"/>
  <c r="M103" i="1"/>
  <c r="B103" i="1"/>
  <c r="M102" i="1"/>
  <c r="B102" i="1"/>
  <c r="M101" i="1"/>
  <c r="B101" i="1"/>
  <c r="M100" i="1"/>
  <c r="B100" i="1"/>
  <c r="M99" i="1"/>
  <c r="B99" i="1"/>
  <c r="M98" i="1"/>
  <c r="B98" i="1"/>
  <c r="M97" i="1"/>
  <c r="B97" i="1"/>
  <c r="M96" i="1"/>
  <c r="B96" i="1"/>
  <c r="M95" i="1"/>
  <c r="B95" i="1"/>
  <c r="M94" i="1"/>
  <c r="B94" i="1"/>
  <c r="M93" i="1"/>
  <c r="B93" i="1"/>
  <c r="M92" i="1"/>
  <c r="B92" i="1"/>
  <c r="M91" i="1"/>
  <c r="B91" i="1"/>
  <c r="M90" i="1"/>
  <c r="B90" i="1"/>
  <c r="M89" i="1"/>
  <c r="B89" i="1"/>
  <c r="M88" i="1"/>
  <c r="B88" i="1"/>
  <c r="M87" i="1"/>
  <c r="B87" i="1"/>
  <c r="M86" i="1"/>
  <c r="B86" i="1"/>
  <c r="M85" i="1"/>
  <c r="B85" i="1"/>
  <c r="M84" i="1"/>
  <c r="B84" i="1"/>
  <c r="M83" i="1"/>
  <c r="B83" i="1"/>
  <c r="M82" i="1"/>
  <c r="B82" i="1"/>
  <c r="M81" i="1"/>
  <c r="B81" i="1"/>
  <c r="M80" i="1"/>
  <c r="B80" i="1"/>
  <c r="M79" i="1"/>
  <c r="B79" i="1"/>
  <c r="M78" i="1"/>
  <c r="B78" i="1"/>
  <c r="M77" i="1"/>
  <c r="B77" i="1"/>
  <c r="M76" i="1"/>
  <c r="B76" i="1"/>
  <c r="M75" i="1"/>
  <c r="B75" i="1"/>
  <c r="M74" i="1"/>
  <c r="B74" i="1"/>
  <c r="M73" i="1"/>
  <c r="B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B30" i="2"/>
  <c r="B29" i="2"/>
  <c r="B28" i="2"/>
  <c r="E24" i="2"/>
  <c r="B24" i="2"/>
  <c r="E23" i="2"/>
  <c r="B23" i="2"/>
  <c r="E22" i="2"/>
  <c r="B22" i="2"/>
  <c r="E21" i="2"/>
  <c r="B21" i="2"/>
  <c r="E20" i="2"/>
  <c r="B20" i="2"/>
  <c r="E19" i="2"/>
  <c r="B19" i="2"/>
  <c r="E11" i="2"/>
  <c r="C11" i="2"/>
  <c r="A11" i="2"/>
  <c r="G7" i="2"/>
  <c r="E7" i="2"/>
  <c r="C7" i="2"/>
  <c r="A7" i="2"/>
  <c r="G11" i="2"/>
  <c r="B2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3" authorId="0" shapeId="0" xr:uid="{00000000-0006-0000-0000-000001000000}">
      <text>
        <r>
          <rPr>
            <sz val="10"/>
            <rFont val="Arial"/>
            <family val="2"/>
          </rPr>
          <t>Default 8 hours for a full working day. Editable per row.</t>
        </r>
      </text>
    </comment>
  </commentList>
</comments>
</file>

<file path=xl/sharedStrings.xml><?xml version="1.0" encoding="utf-8"?>
<sst xmlns="http://schemas.openxmlformats.org/spreadsheetml/2006/main" count="786" uniqueCount="96">
  <si>
    <t>WORK TRACKER</t>
  </si>
  <si>
    <t>Date</t>
  </si>
  <si>
    <t>Day</t>
  </si>
  <si>
    <t>Work Type</t>
  </si>
  <si>
    <t>Task</t>
  </si>
  <si>
    <t>Description</t>
  </si>
  <si>
    <t>Assigned By</t>
  </si>
  <si>
    <t>Team / Area</t>
  </si>
  <si>
    <t>Work Source</t>
  </si>
  <si>
    <t>Hours</t>
  </si>
  <si>
    <t>Status</t>
  </si>
  <si>
    <t>Priority</t>
  </si>
  <si>
    <t>Remarks</t>
  </si>
  <si>
    <t>Month</t>
  </si>
  <si>
    <t>Wednesday</t>
  </si>
  <si>
    <t>Onboarding</t>
  </si>
  <si>
    <t>Onboarding &amp; Induction</t>
  </si>
  <si>
    <t>Company induction, tools setup, introductions with team.</t>
  </si>
  <si>
    <t>Cibi</t>
  </si>
  <si>
    <t>N+1</t>
  </si>
  <si>
    <t>Assigned</t>
  </si>
  <si>
    <t>Completed</t>
  </si>
  <si>
    <t>Medium</t>
  </si>
  <si>
    <t>Approximate - edit exact details as needed</t>
  </si>
  <si>
    <t>Thursday</t>
  </si>
  <si>
    <t>Friday</t>
  </si>
  <si>
    <t>Monday</t>
  </si>
  <si>
    <t>Data Cleaning</t>
  </si>
  <si>
    <t>Data Cleaning - core dataset</t>
  </si>
  <si>
    <t>Cleaning and standardising raw data as main initial project work.</t>
  </si>
  <si>
    <t>High</t>
  </si>
  <si>
    <t>Tuesday</t>
  </si>
  <si>
    <t>Continuing data cleaning work; wrapping up towards end of 3rd week of July.</t>
  </si>
  <si>
    <t>IAAMS Booking</t>
  </si>
  <si>
    <t>IAAMS booking task received from JP.</t>
  </si>
  <si>
    <t>JP</t>
  </si>
  <si>
    <t>Operation</t>
  </si>
  <si>
    <t>IAAMS booking task received from Waseem.</t>
  </si>
  <si>
    <t>Waseem</t>
  </si>
  <si>
    <t>Support</t>
  </si>
  <si>
    <t>IAAMS Booking - FieldSpot testing</t>
  </si>
  <si>
    <t>IAAMS booking task received from Beshido.</t>
  </si>
  <si>
    <t>Beshido</t>
  </si>
  <si>
    <t>BU Leader</t>
  </si>
  <si>
    <t>Testing</t>
  </si>
  <si>
    <t>Learning</t>
  </si>
  <si>
    <t>Power BI Online Course</t>
  </si>
  <si>
    <t>Self-paced online learning session (Power BI course).</t>
  </si>
  <si>
    <t>Self</t>
  </si>
  <si>
    <t>Self-Initiated</t>
  </si>
  <si>
    <t>Low</t>
  </si>
  <si>
    <t>IAAMS booking task received from Waseem. Doubt clarification support included.</t>
  </si>
  <si>
    <t>Excel</t>
  </si>
  <si>
    <t>Excel formula / template task</t>
  </si>
  <si>
    <t>Ad-hoc Excel/Power BI support task for Production team.</t>
  </si>
  <si>
    <t>Renjisha</t>
  </si>
  <si>
    <t>Production</t>
  </si>
  <si>
    <t>Ad-hoc</t>
  </si>
  <si>
    <t>Training</t>
  </si>
  <si>
    <t>Power BI Training - colleague</t>
  </si>
  <si>
    <t>Teaching Power BI basics to fellow intern.</t>
  </si>
  <si>
    <t>Intern Support</t>
  </si>
  <si>
    <t>Power BI</t>
  </si>
  <si>
    <t>Power BI report task</t>
  </si>
  <si>
    <t>Ongoing - update as work continues</t>
  </si>
  <si>
    <t>Other</t>
  </si>
  <si>
    <t>Macy's Governance Task</t>
  </si>
  <si>
    <t xml:space="preserve">Data </t>
  </si>
  <si>
    <t>Sathiyan</t>
  </si>
  <si>
    <t>In Progress</t>
  </si>
  <si>
    <t>IAAMS Testing</t>
  </si>
  <si>
    <t>IAAMS Booking foer Nike</t>
  </si>
  <si>
    <t>Power BI Learnig</t>
  </si>
  <si>
    <t>INTERNSHIP DASHBOARD</t>
  </si>
  <si>
    <t>📅  Month</t>
  </si>
  <si>
    <t>All</t>
  </si>
  <si>
    <t>👤  Assigned By</t>
  </si>
  <si>
    <t>← change these</t>
  </si>
  <si>
    <t>TOTAL HOURS (filtered)</t>
  </si>
  <si>
    <t>TOTAL TASKS (filtered)</t>
  </si>
  <si>
    <t>COMPLETED TASKS</t>
  </si>
  <si>
    <t>IN PROGRESS TASKS</t>
  </si>
  <si>
    <t>DATA CLEANING HOURS</t>
  </si>
  <si>
    <t>IAAMS HOURS</t>
  </si>
  <si>
    <t>POWER BI + LEARNING HOURS</t>
  </si>
  <si>
    <t>AVG HOURS / TASK</t>
  </si>
  <si>
    <t>CHART DATA (auto-calculated — please don't edit)</t>
  </si>
  <si>
    <t>Jun 2026</t>
  </si>
  <si>
    <t>Jul 2026</t>
  </si>
  <si>
    <t>Aug 2026</t>
  </si>
  <si>
    <t>Dropdown Source Lists</t>
  </si>
  <si>
    <t>Backs the dropdown menus in Work Tracker and the filters on the Dashboard. Keep this sheet - add new items inside the existing column ranges if needed.</t>
  </si>
  <si>
    <t>Planned</t>
  </si>
  <si>
    <t>On Hold</t>
  </si>
  <si>
    <t>Data Analysis</t>
  </si>
  <si>
    <t>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</si>
</sst>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18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8A8FA3"/>
      <name val="Arial"/>
      <charset val="1"/>
    </font>
    <font>
      <b/>
      <sz val="10"/>
      <color rgb="FFFFFFFF"/>
      <name val="Arial"/>
      <charset val="1"/>
    </font>
    <font>
      <b/>
      <sz val="10"/>
      <color rgb="FF0B8C86"/>
      <name val="Arial"/>
      <charset val="1"/>
    </font>
    <font>
      <i/>
      <sz val="10"/>
      <color rgb="FF4A5170"/>
      <name val="Arial"/>
      <charset val="1"/>
    </font>
    <font>
      <sz val="10"/>
      <color rgb="FF111111"/>
      <name val="Arial"/>
      <charset val="1"/>
    </font>
    <font>
      <b/>
      <sz val="10"/>
      <color rgb="FF111111"/>
      <name val="Arial"/>
      <charset val="1"/>
    </font>
    <font>
      <sz val="9"/>
      <color rgb="FF8A8FA3"/>
      <name val="Arial"/>
      <charset val="1"/>
    </font>
    <font>
      <sz val="10"/>
      <name val="Arial"/>
      <family val="2"/>
    </font>
    <font>
      <b/>
      <sz val="10"/>
      <color rgb="FF1B1F3B"/>
      <name val="Arial"/>
      <charset val="1"/>
    </font>
    <font>
      <b/>
      <sz val="11"/>
      <color rgb="FF111111"/>
      <name val="Arial"/>
      <charset val="1"/>
    </font>
    <font>
      <i/>
      <sz val="9"/>
      <color rgb="FF4A5170"/>
      <name val="Arial"/>
      <charset val="1"/>
    </font>
    <font>
      <b/>
      <sz val="9"/>
      <color rgb="FF4A5170"/>
      <name val="Arial"/>
      <charset val="1"/>
    </font>
    <font>
      <b/>
      <sz val="24"/>
      <color rgb="FF111111"/>
      <name val="Arial"/>
      <charset val="1"/>
    </font>
    <font>
      <b/>
      <sz val="9"/>
      <color rgb="FF8A8FA3"/>
      <name val="Arial"/>
      <charset val="1"/>
    </font>
    <font>
      <sz val="9"/>
      <color rgb="FF111111"/>
      <name val="Arial"/>
      <charset val="1"/>
    </font>
    <font>
      <b/>
      <sz val="12"/>
      <color rgb="FFFFFFFF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B1F3B"/>
        <bgColor rgb="FF111111"/>
      </patternFill>
    </fill>
    <fill>
      <patternFill patternType="solid">
        <fgColor rgb="FFF7F8FC"/>
        <bgColor rgb="FFFAFAFC"/>
      </patternFill>
    </fill>
    <fill>
      <patternFill patternType="solid">
        <fgColor rgb="FFE7F9F7"/>
        <bgColor rgb="FFF7F8FC"/>
      </patternFill>
    </fill>
    <fill>
      <patternFill patternType="solid">
        <fgColor rgb="FFFFFFFF"/>
        <bgColor rgb="FFFAFAFC"/>
      </patternFill>
    </fill>
    <fill>
      <patternFill patternType="solid">
        <fgColor rgb="FFE9EAF4"/>
        <bgColor rgb="FFE3E5EC"/>
      </patternFill>
    </fill>
    <fill>
      <patternFill patternType="solid">
        <fgColor rgb="FFFFF6DF"/>
        <bgColor rgb="FFFFEDED"/>
      </patternFill>
    </fill>
    <fill>
      <patternFill patternType="solid">
        <fgColor rgb="FFFFEDED"/>
        <bgColor rgb="FFFFF6DF"/>
      </patternFill>
    </fill>
    <fill>
      <patternFill patternType="solid">
        <fgColor rgb="FFFAFAFC"/>
        <bgColor rgb="FFF7F8FC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rgb="FFE3E5EC"/>
      </left>
      <right style="thin">
        <color rgb="FFE3E5EC"/>
      </right>
      <top style="thin">
        <color rgb="FFE3E5EC"/>
      </top>
      <bottom style="thin">
        <color rgb="FFE3E5EC"/>
      </bottom>
      <diagonal/>
    </border>
    <border>
      <left style="thick">
        <color rgb="FF0FB9B1"/>
      </left>
      <right style="thin">
        <color rgb="FFE3E5EC"/>
      </right>
      <top style="thin">
        <color rgb="FFE3E5EC"/>
      </top>
      <bottom style="thin">
        <color rgb="FFE3E5EC"/>
      </bottom>
      <diagonal/>
    </border>
    <border>
      <left style="thick">
        <color rgb="FF1B1F3B"/>
      </left>
      <right style="thin">
        <color rgb="FFE3E5EC"/>
      </right>
      <top style="thin">
        <color rgb="FFE3E5EC"/>
      </top>
      <bottom style="thin">
        <color rgb="FFE3E5EC"/>
      </bottom>
      <diagonal/>
    </border>
    <border>
      <left style="thick">
        <color rgb="FFFFB800"/>
      </left>
      <right style="thin">
        <color rgb="FFE3E5EC"/>
      </right>
      <top style="thin">
        <color rgb="FFE3E5EC"/>
      </top>
      <bottom style="thin">
        <color rgb="FFE3E5EC"/>
      </bottom>
      <diagonal/>
    </border>
    <border>
      <left style="thick">
        <color rgb="FFFF6B6B"/>
      </left>
      <right style="thin">
        <color rgb="FFE3E5EC"/>
      </right>
      <top style="thin">
        <color rgb="FFE3E5EC"/>
      </top>
      <bottom style="thin">
        <color rgb="FFE3E5EC"/>
      </bottom>
      <diagonal/>
    </border>
  </borders>
  <cellStyleXfs count="1">
    <xf numFmtId="0" fontId="0" fillId="0" borderId="0"/>
  </cellStyleXfs>
  <cellXfs count="45">
    <xf numFmtId="0" fontId="0" fillId="0" borderId="0" xfId="0"/>
    <xf numFmtId="165" fontId="14" fillId="7" borderId="4" xfId="0" applyNumberFormat="1" applyFont="1" applyFill="1" applyBorder="1" applyAlignment="1">
      <alignment horizontal="left" vertical="center" indent="1"/>
    </xf>
    <xf numFmtId="165" fontId="14" fillId="8" borderId="5" xfId="0" applyNumberFormat="1" applyFont="1" applyFill="1" applyBorder="1" applyAlignment="1">
      <alignment horizontal="left" vertical="center" indent="1"/>
    </xf>
    <xf numFmtId="165" fontId="14" fillId="6" borderId="3" xfId="0" applyNumberFormat="1" applyFont="1" applyFill="1" applyBorder="1" applyAlignment="1">
      <alignment horizontal="left" vertical="center" indent="1"/>
    </xf>
    <xf numFmtId="1" fontId="14" fillId="8" borderId="5" xfId="0" applyNumberFormat="1" applyFont="1" applyFill="1" applyBorder="1" applyAlignment="1">
      <alignment horizontal="left" vertical="center" indent="1"/>
    </xf>
    <xf numFmtId="1" fontId="14" fillId="7" borderId="4" xfId="0" applyNumberFormat="1" applyFont="1" applyFill="1" applyBorder="1" applyAlignment="1">
      <alignment horizontal="left" vertical="center" indent="1"/>
    </xf>
    <xf numFmtId="1" fontId="14" fillId="6" borderId="3" xfId="0" applyNumberFormat="1" applyFont="1" applyFill="1" applyBorder="1" applyAlignment="1">
      <alignment horizontal="left" vertical="center" indent="1"/>
    </xf>
    <xf numFmtId="165" fontId="14" fillId="4" borderId="2" xfId="0" applyNumberFormat="1" applyFont="1" applyFill="1" applyBorder="1" applyAlignment="1">
      <alignment horizontal="left" vertical="center" indent="1"/>
    </xf>
    <xf numFmtId="0" fontId="13" fillId="8" borderId="5" xfId="0" applyFont="1" applyFill="1" applyBorder="1" applyAlignment="1">
      <alignment horizontal="left" vertical="center" wrapText="1" indent="1"/>
    </xf>
    <xf numFmtId="0" fontId="13" fillId="7" borderId="4" xfId="0" applyFont="1" applyFill="1" applyBorder="1" applyAlignment="1">
      <alignment horizontal="left" vertical="center" wrapText="1" indent="1"/>
    </xf>
    <xf numFmtId="0" fontId="13" fillId="6" borderId="3" xfId="0" applyFont="1" applyFill="1" applyBorder="1" applyAlignment="1">
      <alignment horizontal="left" vertical="center" wrapText="1" indent="1"/>
    </xf>
    <xf numFmtId="0" fontId="13" fillId="4" borderId="2" xfId="0" applyFont="1" applyFill="1" applyBorder="1" applyAlignment="1">
      <alignment horizontal="left" vertical="center" wrapText="1" indent="1"/>
    </xf>
    <xf numFmtId="0" fontId="12" fillId="4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8" fillId="0" borderId="0" xfId="0" applyFont="1"/>
    <xf numFmtId="164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4" borderId="0" xfId="0" applyFill="1"/>
    <xf numFmtId="0" fontId="10" fillId="4" borderId="0" xfId="0" applyFont="1" applyFill="1" applyAlignment="1">
      <alignment horizontal="left" vertical="center" indent="1"/>
    </xf>
    <xf numFmtId="0" fontId="11" fillId="5" borderId="1" xfId="0" applyFont="1" applyFill="1" applyBorder="1" applyAlignment="1">
      <alignment horizontal="center" vertical="center" wrapText="1"/>
    </xf>
    <xf numFmtId="0" fontId="15" fillId="0" borderId="0" xfId="0" applyFont="1"/>
    <xf numFmtId="0" fontId="16" fillId="0" borderId="0" xfId="0" applyFont="1"/>
    <xf numFmtId="165" fontId="16" fillId="0" borderId="0" xfId="0" applyNumberFormat="1" applyFont="1"/>
    <xf numFmtId="0" fontId="6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17" fillId="2" borderId="0" xfId="0" applyFont="1" applyFill="1" applyBorder="1" applyAlignment="1">
      <alignment horizontal="left" vertical="center" indent="1"/>
    </xf>
    <xf numFmtId="164" fontId="4" fillId="10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1" fillId="11" borderId="0" xfId="0" applyFont="1" applyFill="1" applyBorder="1" applyAlignment="1">
      <alignment horizontal="left" vertical="center" indent="1"/>
    </xf>
    <xf numFmtId="0" fontId="3" fillId="11" borderId="1" xfId="0" applyFont="1" applyFill="1" applyBorder="1" applyAlignment="1">
      <alignment horizontal="center" vertical="center" wrapText="1"/>
    </xf>
    <xf numFmtId="0" fontId="15" fillId="9" borderId="0" xfId="0" applyFont="1" applyFill="1" applyBorder="1" applyAlignment="1"/>
    <xf numFmtId="0" fontId="2" fillId="0" borderId="0" xfId="0" applyFont="1" applyBorder="1" applyAlignment="1"/>
  </cellXfs>
  <cellStyles count="1">
    <cellStyle name="Normal" xfId="0" builtinId="0"/>
  </cellStyles>
  <dxfs count="8">
    <dxf>
      <fill>
        <patternFill>
          <bgColor rgb="FFFFDCC4"/>
        </patternFill>
      </fill>
    </dxf>
    <dxf>
      <font>
        <b/>
        <sz val="10"/>
        <color rgb="FF111111"/>
        <name val="Arial"/>
        <charset val="1"/>
      </font>
      <fill>
        <patternFill>
          <bgColor rgb="FFC9F6E5"/>
        </patternFill>
      </fill>
    </dxf>
    <dxf>
      <font>
        <b/>
        <sz val="10"/>
        <color rgb="FF111111"/>
        <name val="Arial"/>
        <charset val="1"/>
      </font>
      <fill>
        <patternFill>
          <bgColor rgb="FFFFE7A8"/>
        </patternFill>
      </fill>
    </dxf>
    <dxf>
      <font>
        <b/>
        <sz val="10"/>
        <color rgb="FF111111"/>
        <name val="Arial"/>
        <charset val="1"/>
      </font>
      <fill>
        <patternFill>
          <bgColor rgb="FFFFD3D3"/>
        </patternFill>
      </fill>
    </dxf>
    <dxf>
      <font>
        <b/>
        <sz val="10"/>
        <color rgb="FF111111"/>
        <name val="Arial"/>
        <charset val="1"/>
      </font>
      <fill>
        <patternFill>
          <bgColor rgb="FFD6E4FF"/>
        </patternFill>
      </fill>
    </dxf>
    <dxf>
      <font>
        <b/>
        <sz val="10"/>
        <color rgb="FF111111"/>
        <name val="Arial"/>
        <charset val="1"/>
      </font>
      <fill>
        <patternFill>
          <bgColor rgb="FFFFD3D3"/>
        </patternFill>
      </fill>
    </dxf>
    <dxf>
      <font>
        <b/>
        <sz val="10"/>
        <color rgb="FF111111"/>
        <name val="Arial"/>
        <charset val="1"/>
      </font>
      <fill>
        <patternFill>
          <bgColor rgb="FFFFE7A8"/>
        </patternFill>
      </fill>
    </dxf>
    <dxf>
      <font>
        <b/>
        <sz val="10"/>
        <color rgb="FF111111"/>
        <name val="Arial"/>
        <charset val="1"/>
      </font>
      <fill>
        <patternFill>
          <bgColor rgb="FFC9F6E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7A8"/>
      <rgbColor rgb="FFFF00FF"/>
      <rgbColor rgb="FF00FFFF"/>
      <rgbColor rgb="FF800000"/>
      <rgbColor rgb="FF008000"/>
      <rgbColor rgb="FF000080"/>
      <rgbColor rgb="FF808000"/>
      <rgbColor rgb="FF800080"/>
      <rgbColor rgb="FF0B8C86"/>
      <rgbColor rgb="FFE3E5EC"/>
      <rgbColor rgb="FF878787"/>
      <rgbColor rgb="FFF7F8FC"/>
      <rgbColor rgb="FFC0504D"/>
      <rgbColor rgb="FFFFF6DF"/>
      <rgbColor rgb="FFE7F9F7"/>
      <rgbColor rgb="FF660066"/>
      <rgbColor rgb="FFFF6B6B"/>
      <rgbColor rgb="FF0066CC"/>
      <rgbColor rgb="FFD9D9D9"/>
      <rgbColor rgb="FF000080"/>
      <rgbColor rgb="FFFF00FF"/>
      <rgbColor rgb="FFFAFAFC"/>
      <rgbColor rgb="FF00FFFF"/>
      <rgbColor rgb="FF800080"/>
      <rgbColor rgb="FF800000"/>
      <rgbColor rgb="FF008080"/>
      <rgbColor rgb="FF0000FF"/>
      <rgbColor rgb="FF00CCFF"/>
      <rgbColor rgb="FFD6E4FF"/>
      <rgbColor rgb="FFC9F6E5"/>
      <rgbColor rgb="FFFFF1C6"/>
      <rgbColor rgb="FFE9EAF4"/>
      <rgbColor rgb="FFFFD3D3"/>
      <rgbColor rgb="FFFFEDED"/>
      <rgbColor rgb="FFFFDCC4"/>
      <rgbColor rgb="FF4F81BD"/>
      <rgbColor rgb="FF0FB9B1"/>
      <rgbColor rgb="FF9BBB59"/>
      <rgbColor rgb="FFFFB800"/>
      <rgbColor rgb="FFF79646"/>
      <rgbColor rgb="FFFF6600"/>
      <rgbColor rgb="FF8064A2"/>
      <rgbColor rgb="FF8A8FA3"/>
      <rgbColor rgb="FF003366"/>
      <rgbColor rgb="FF4BACC6"/>
      <rgbColor rgb="FF111111"/>
      <rgbColor rgb="FF333300"/>
      <rgbColor rgb="FF993300"/>
      <rgbColor rgb="FF993366"/>
      <rgbColor rgb="FF4A5170"/>
      <rgbColor rgb="FF1B1F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Hours by Work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Dashboard!B18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rgbClr val="0FB9B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Dashboard!$A$19:$A$25</c:f>
              <c:strCache>
                <c:ptCount val="7"/>
                <c:pt idx="0">
                  <c:v>Data Cleaning</c:v>
                </c:pt>
                <c:pt idx="1">
                  <c:v>IAAMS Booking</c:v>
                </c:pt>
                <c:pt idx="2">
                  <c:v>Excel</c:v>
                </c:pt>
                <c:pt idx="3">
                  <c:v>Power BI</c:v>
                </c:pt>
                <c:pt idx="4">
                  <c:v>Learning</c:v>
                </c:pt>
                <c:pt idx="5">
                  <c:v>Training</c:v>
                </c:pt>
                <c:pt idx="6">
                  <c:v>Other</c:v>
                </c:pt>
              </c:strCache>
            </c:strRef>
          </c:cat>
          <c:val>
            <c:numRef>
              <c:f>Dashboard!$B$19:$B$25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92-40A1-B152-E5F801B0E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676238"/>
        <c:axId val="73549430"/>
      </c:barChart>
      <c:catAx>
        <c:axId val="956762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549430"/>
        <c:crosses val="autoZero"/>
        <c:auto val="1"/>
        <c:lblAlgn val="ctr"/>
        <c:lblOffset val="100"/>
        <c:noMultiLvlLbl val="0"/>
      </c:catAx>
      <c:valAx>
        <c:axId val="735494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6762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Distribution by Assigned By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Dashboard!E18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939A-4DE1-A77F-7DBF3C2AACF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39A-4DE1-A77F-7DBF3C2AACF0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39A-4DE1-A77F-7DBF3C2AACF0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939A-4DE1-A77F-7DBF3C2AACF0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939A-4DE1-A77F-7DBF3C2AACF0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939A-4DE1-A77F-7DBF3C2AACF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939A-4DE1-A77F-7DBF3C2AACF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939A-4DE1-A77F-7DBF3C2AACF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939A-4DE1-A77F-7DBF3C2AACF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939A-4DE1-A77F-7DBF3C2AACF0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939A-4DE1-A77F-7DBF3C2AACF0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939A-4DE1-A77F-7DBF3C2AAC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Dashboard!$D$19:$D$24</c:f>
              <c:strCache>
                <c:ptCount val="6"/>
                <c:pt idx="0">
                  <c:v>Cibi</c:v>
                </c:pt>
                <c:pt idx="1">
                  <c:v>JP</c:v>
                </c:pt>
                <c:pt idx="2">
                  <c:v>Beshido</c:v>
                </c:pt>
                <c:pt idx="3">
                  <c:v>Waseem</c:v>
                </c:pt>
                <c:pt idx="4">
                  <c:v>Renjisha</c:v>
                </c:pt>
                <c:pt idx="5">
                  <c:v>Self</c:v>
                </c:pt>
              </c:strCache>
            </c:strRef>
          </c:cat>
          <c:val>
            <c:numRef>
              <c:f>Dashboard!$E$19:$E$24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39A-4DE1-A77F-7DBF3C2AA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Trend (Total Hours)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Dashboard!B27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rgbClr val="1B1F3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Dashboard!$A$28:$A$30</c:f>
              <c:strCache>
                <c:ptCount val="3"/>
                <c:pt idx="0">
                  <c:v>Jun 2026</c:v>
                </c:pt>
                <c:pt idx="1">
                  <c:v>Jul 2026</c:v>
                </c:pt>
                <c:pt idx="2">
                  <c:v>Aug 2026</c:v>
                </c:pt>
              </c:strCache>
            </c:strRef>
          </c:cat>
          <c:val>
            <c:numRef>
              <c:f>Dashboard!$B$28:$B$30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CE-4ED3-8D65-9D41FCF0D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849791"/>
        <c:axId val="76310669"/>
      </c:barChart>
      <c:catAx>
        <c:axId val="9684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310669"/>
        <c:crosses val="autoZero"/>
        <c:auto val="1"/>
        <c:lblAlgn val="ctr"/>
        <c:lblOffset val="100"/>
        <c:noMultiLvlLbl val="0"/>
      </c:catAx>
      <c:valAx>
        <c:axId val="763106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8497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5</xdr:col>
      <xdr:colOff>293400</xdr:colOff>
      <xdr:row>30</xdr:row>
      <xdr:rowOff>11880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14</xdr:row>
      <xdr:rowOff>0</xdr:rowOff>
    </xdr:from>
    <xdr:to>
      <xdr:col>10</xdr:col>
      <xdr:colOff>127800</xdr:colOff>
      <xdr:row>30</xdr:row>
      <xdr:rowOff>11880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32</xdr:row>
      <xdr:rowOff>0</xdr:rowOff>
    </xdr:from>
    <xdr:to>
      <xdr:col>5</xdr:col>
      <xdr:colOff>293400</xdr:colOff>
      <xdr:row>48</xdr:row>
      <xdr:rowOff>11880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rkTracker" displayName="WorkTracker" ref="A3:M130" totalsRowShown="0">
  <autoFilter ref="A3:M130" xr:uid="{00000000-0009-0000-0100-000001000000}"/>
  <tableColumns count="13">
    <tableColumn id="1" xr3:uid="{00000000-0010-0000-0000-000001000000}" name="Date"/>
    <tableColumn id="2" xr3:uid="{00000000-0010-0000-0000-000002000000}" name="Day"/>
    <tableColumn id="3" xr3:uid="{00000000-0010-0000-0000-000003000000}" name="Work Type"/>
    <tableColumn id="4" xr3:uid="{00000000-0010-0000-0000-000004000000}" name="Task"/>
    <tableColumn id="5" xr3:uid="{00000000-0010-0000-0000-000005000000}" name="Description"/>
    <tableColumn id="6" xr3:uid="{00000000-0010-0000-0000-000006000000}" name="Assigned By"/>
    <tableColumn id="7" xr3:uid="{00000000-0010-0000-0000-000007000000}" name="Team / Area"/>
    <tableColumn id="8" xr3:uid="{00000000-0010-0000-0000-000008000000}" name="Work Source"/>
    <tableColumn id="9" xr3:uid="{00000000-0010-0000-0000-000009000000}" name="Hours"/>
    <tableColumn id="10" xr3:uid="{00000000-0010-0000-0000-00000A000000}" name="Status"/>
    <tableColumn id="11" xr3:uid="{00000000-0010-0000-0000-00000B000000}" name="Priority"/>
    <tableColumn id="12" xr3:uid="{00000000-0010-0000-0000-00000C000000}" name="Remarks"/>
    <tableColumn id="13" xr3:uid="{00000000-0010-0000-0000-00000D000000}" name="Month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M130"/>
  <sheetViews>
    <sheetView showGridLines="0" zoomScaleNormal="100" workbookViewId="0">
      <pane ySplit="3" topLeftCell="A43" activePane="bottomLeft" state="frozen"/>
      <selection pane="bottomLeft" activeCell="G61" sqref="G61"/>
    </sheetView>
  </sheetViews>
  <sheetFormatPr defaultColWidth="8.7109375" defaultRowHeight="15"/>
  <cols>
    <col min="1" max="1" width="13" customWidth="1"/>
    <col min="2" max="2" width="12" customWidth="1"/>
    <col min="3" max="3" width="15" customWidth="1"/>
    <col min="4" max="4" width="26" customWidth="1"/>
    <col min="5" max="5" width="34" customWidth="1"/>
    <col min="6" max="6" width="12" customWidth="1"/>
    <col min="7" max="7" width="15" customWidth="1"/>
    <col min="8" max="8" width="13" customWidth="1"/>
    <col min="9" max="9" width="9" customWidth="1"/>
    <col min="10" max="10" width="13" customWidth="1"/>
    <col min="11" max="11" width="10" customWidth="1"/>
    <col min="12" max="12" width="30" customWidth="1"/>
    <col min="13" max="13" width="12" hidden="1" customWidth="1"/>
  </cols>
  <sheetData>
    <row r="1" spans="1:13" ht="23.25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3" spans="1:13">
      <c r="A3" s="42" t="s">
        <v>1</v>
      </c>
      <c r="B3" s="42" t="s">
        <v>2</v>
      </c>
      <c r="C3" s="42" t="s">
        <v>3</v>
      </c>
      <c r="D3" s="42" t="s">
        <v>4</v>
      </c>
      <c r="E3" s="42" t="s">
        <v>5</v>
      </c>
      <c r="F3" s="42" t="s">
        <v>6</v>
      </c>
      <c r="G3" s="42" t="s">
        <v>7</v>
      </c>
      <c r="H3" s="42" t="s">
        <v>8</v>
      </c>
      <c r="I3" s="42" t="s">
        <v>9</v>
      </c>
      <c r="J3" s="42" t="s">
        <v>10</v>
      </c>
      <c r="K3" s="42" t="s">
        <v>11</v>
      </c>
      <c r="L3" s="42" t="s">
        <v>12</v>
      </c>
      <c r="M3" s="15" t="s">
        <v>13</v>
      </c>
    </row>
    <row r="4" spans="1:13" ht="24">
      <c r="A4" s="36">
        <v>46183</v>
      </c>
      <c r="B4" s="37" t="s">
        <v>14</v>
      </c>
      <c r="C4" s="38" t="s">
        <v>15</v>
      </c>
      <c r="D4" s="38" t="s">
        <v>16</v>
      </c>
      <c r="E4" s="38" t="s">
        <v>17</v>
      </c>
      <c r="F4" s="38" t="s">
        <v>18</v>
      </c>
      <c r="G4" s="38" t="s">
        <v>19</v>
      </c>
      <c r="H4" s="38" t="s">
        <v>20</v>
      </c>
      <c r="I4" s="39">
        <v>8</v>
      </c>
      <c r="J4" s="40" t="s">
        <v>21</v>
      </c>
      <c r="K4" s="40" t="s">
        <v>22</v>
      </c>
      <c r="L4" s="38" t="s">
        <v>23</v>
      </c>
      <c r="M4" s="16" t="str">
        <f>IF(A4="","",TEXT(A4,"mmm yyyy"))</f>
        <v>Jun 2026</v>
      </c>
    </row>
    <row r="5" spans="1:13" ht="24">
      <c r="A5" s="36">
        <v>46184</v>
      </c>
      <c r="B5" s="37" t="s">
        <v>24</v>
      </c>
      <c r="C5" s="38" t="s">
        <v>15</v>
      </c>
      <c r="D5" s="38" t="s">
        <v>16</v>
      </c>
      <c r="E5" s="38" t="s">
        <v>17</v>
      </c>
      <c r="F5" s="38" t="s">
        <v>18</v>
      </c>
      <c r="G5" s="38" t="s">
        <v>19</v>
      </c>
      <c r="H5" s="38" t="s">
        <v>20</v>
      </c>
      <c r="I5" s="39">
        <v>8</v>
      </c>
      <c r="J5" s="40" t="s">
        <v>21</v>
      </c>
      <c r="K5" s="40" t="s">
        <v>22</v>
      </c>
      <c r="L5" s="38" t="s">
        <v>23</v>
      </c>
      <c r="M5" s="16" t="str">
        <f>IF(A5="","",TEXT(A5,"mmm yyyy"))</f>
        <v>Jun 2026</v>
      </c>
    </row>
    <row r="6" spans="1:13" ht="24">
      <c r="A6" s="36">
        <v>46185</v>
      </c>
      <c r="B6" s="37" t="s">
        <v>25</v>
      </c>
      <c r="C6" s="38" t="s">
        <v>15</v>
      </c>
      <c r="D6" s="38" t="s">
        <v>16</v>
      </c>
      <c r="E6" s="38" t="s">
        <v>17</v>
      </c>
      <c r="F6" s="38" t="s">
        <v>18</v>
      </c>
      <c r="G6" s="38" t="s">
        <v>19</v>
      </c>
      <c r="H6" s="38" t="s">
        <v>20</v>
      </c>
      <c r="I6" s="39">
        <v>8</v>
      </c>
      <c r="J6" s="40" t="s">
        <v>21</v>
      </c>
      <c r="K6" s="40" t="s">
        <v>22</v>
      </c>
      <c r="L6" s="38" t="s">
        <v>23</v>
      </c>
      <c r="M6" s="16" t="str">
        <f>IF(A6="","",TEXT(A6,"mmm yyyy"))</f>
        <v>Jun 2026</v>
      </c>
    </row>
    <row r="7" spans="1:13" ht="24">
      <c r="A7" s="36">
        <v>46188</v>
      </c>
      <c r="B7" s="37" t="s">
        <v>26</v>
      </c>
      <c r="C7" s="38" t="s">
        <v>27</v>
      </c>
      <c r="D7" s="38" t="s">
        <v>28</v>
      </c>
      <c r="E7" s="38" t="s">
        <v>29</v>
      </c>
      <c r="F7" s="38" t="s">
        <v>18</v>
      </c>
      <c r="G7" s="38" t="s">
        <v>19</v>
      </c>
      <c r="H7" s="38" t="s">
        <v>20</v>
      </c>
      <c r="I7" s="39">
        <v>8</v>
      </c>
      <c r="J7" s="40" t="s">
        <v>21</v>
      </c>
      <c r="K7" s="40" t="s">
        <v>30</v>
      </c>
      <c r="L7" s="38" t="s">
        <v>23</v>
      </c>
      <c r="M7" s="16" t="str">
        <f>IF(A7="","",TEXT(A7,"mmm yyyy"))</f>
        <v>Jun 2026</v>
      </c>
    </row>
    <row r="8" spans="1:13" ht="24">
      <c r="A8" s="36">
        <v>46189</v>
      </c>
      <c r="B8" s="37" t="s">
        <v>31</v>
      </c>
      <c r="C8" s="38" t="s">
        <v>27</v>
      </c>
      <c r="D8" s="38" t="s">
        <v>28</v>
      </c>
      <c r="E8" s="38" t="s">
        <v>29</v>
      </c>
      <c r="F8" s="38" t="s">
        <v>18</v>
      </c>
      <c r="G8" s="38" t="s">
        <v>19</v>
      </c>
      <c r="H8" s="38" t="s">
        <v>20</v>
      </c>
      <c r="I8" s="39">
        <v>8</v>
      </c>
      <c r="J8" s="40" t="s">
        <v>21</v>
      </c>
      <c r="K8" s="40" t="s">
        <v>30</v>
      </c>
      <c r="L8" s="38" t="s">
        <v>23</v>
      </c>
      <c r="M8" s="16" t="str">
        <f>IF(A8="","",TEXT(A8,"mmm yyyy"))</f>
        <v>Jun 2026</v>
      </c>
    </row>
    <row r="9" spans="1:13" ht="24">
      <c r="A9" s="36">
        <v>46190</v>
      </c>
      <c r="B9" s="37" t="s">
        <v>14</v>
      </c>
      <c r="C9" s="38" t="s">
        <v>27</v>
      </c>
      <c r="D9" s="38" t="s">
        <v>28</v>
      </c>
      <c r="E9" s="38" t="s">
        <v>29</v>
      </c>
      <c r="F9" s="38" t="s">
        <v>18</v>
      </c>
      <c r="G9" s="38" t="s">
        <v>19</v>
      </c>
      <c r="H9" s="38" t="s">
        <v>20</v>
      </c>
      <c r="I9" s="39">
        <v>8</v>
      </c>
      <c r="J9" s="40" t="s">
        <v>21</v>
      </c>
      <c r="K9" s="40" t="s">
        <v>30</v>
      </c>
      <c r="L9" s="38" t="s">
        <v>23</v>
      </c>
      <c r="M9" s="16" t="str">
        <f>IF(A9="","",TEXT(A9,"mmm yyyy"))</f>
        <v>Jun 2026</v>
      </c>
    </row>
    <row r="10" spans="1:13" ht="24">
      <c r="A10" s="36">
        <v>46191</v>
      </c>
      <c r="B10" s="37" t="s">
        <v>24</v>
      </c>
      <c r="C10" s="38" t="s">
        <v>27</v>
      </c>
      <c r="D10" s="38" t="s">
        <v>28</v>
      </c>
      <c r="E10" s="38" t="s">
        <v>29</v>
      </c>
      <c r="F10" s="38" t="s">
        <v>18</v>
      </c>
      <c r="G10" s="38" t="s">
        <v>19</v>
      </c>
      <c r="H10" s="38" t="s">
        <v>20</v>
      </c>
      <c r="I10" s="39">
        <v>8</v>
      </c>
      <c r="J10" s="40" t="s">
        <v>21</v>
      </c>
      <c r="K10" s="40" t="s">
        <v>30</v>
      </c>
      <c r="L10" s="38" t="s">
        <v>23</v>
      </c>
      <c r="M10" s="16" t="str">
        <f>IF(A10="","",TEXT(A10,"mmm yyyy"))</f>
        <v>Jun 2026</v>
      </c>
    </row>
    <row r="11" spans="1:13" ht="24">
      <c r="A11" s="36">
        <v>46192</v>
      </c>
      <c r="B11" s="37" t="s">
        <v>25</v>
      </c>
      <c r="C11" s="38" t="s">
        <v>27</v>
      </c>
      <c r="D11" s="38" t="s">
        <v>28</v>
      </c>
      <c r="E11" s="38" t="s">
        <v>29</v>
      </c>
      <c r="F11" s="38" t="s">
        <v>18</v>
      </c>
      <c r="G11" s="38" t="s">
        <v>19</v>
      </c>
      <c r="H11" s="38" t="s">
        <v>20</v>
      </c>
      <c r="I11" s="39">
        <v>8</v>
      </c>
      <c r="J11" s="40" t="s">
        <v>21</v>
      </c>
      <c r="K11" s="40" t="s">
        <v>30</v>
      </c>
      <c r="L11" s="38" t="s">
        <v>23</v>
      </c>
      <c r="M11" s="16" t="str">
        <f>IF(A11="","",TEXT(A11,"mmm yyyy"))</f>
        <v>Jun 2026</v>
      </c>
    </row>
    <row r="12" spans="1:13" ht="24">
      <c r="A12" s="36">
        <v>46195</v>
      </c>
      <c r="B12" s="37" t="s">
        <v>26</v>
      </c>
      <c r="C12" s="38" t="s">
        <v>27</v>
      </c>
      <c r="D12" s="38" t="s">
        <v>28</v>
      </c>
      <c r="E12" s="38" t="s">
        <v>29</v>
      </c>
      <c r="F12" s="38" t="s">
        <v>18</v>
      </c>
      <c r="G12" s="38" t="s">
        <v>19</v>
      </c>
      <c r="H12" s="38" t="s">
        <v>20</v>
      </c>
      <c r="I12" s="39">
        <v>8</v>
      </c>
      <c r="J12" s="40" t="s">
        <v>21</v>
      </c>
      <c r="K12" s="40" t="s">
        <v>30</v>
      </c>
      <c r="L12" s="38" t="s">
        <v>23</v>
      </c>
      <c r="M12" s="16" t="str">
        <f>IF(A12="","",TEXT(A12,"mmm yyyy"))</f>
        <v>Jun 2026</v>
      </c>
    </row>
    <row r="13" spans="1:13" ht="24">
      <c r="A13" s="36">
        <v>46196</v>
      </c>
      <c r="B13" s="37" t="s">
        <v>31</v>
      </c>
      <c r="C13" s="38" t="s">
        <v>27</v>
      </c>
      <c r="D13" s="38" t="s">
        <v>28</v>
      </c>
      <c r="E13" s="38" t="s">
        <v>29</v>
      </c>
      <c r="F13" s="38" t="s">
        <v>18</v>
      </c>
      <c r="G13" s="38" t="s">
        <v>19</v>
      </c>
      <c r="H13" s="38" t="s">
        <v>20</v>
      </c>
      <c r="I13" s="39">
        <v>8</v>
      </c>
      <c r="J13" s="40" t="s">
        <v>21</v>
      </c>
      <c r="K13" s="40" t="s">
        <v>30</v>
      </c>
      <c r="L13" s="38" t="s">
        <v>23</v>
      </c>
      <c r="M13" s="16" t="str">
        <f>IF(A13="","",TEXT(A13,"mmm yyyy"))</f>
        <v>Jun 2026</v>
      </c>
    </row>
    <row r="14" spans="1:13" ht="24">
      <c r="A14" s="36">
        <v>46197</v>
      </c>
      <c r="B14" s="37" t="s">
        <v>14</v>
      </c>
      <c r="C14" s="38" t="s">
        <v>27</v>
      </c>
      <c r="D14" s="38" t="s">
        <v>28</v>
      </c>
      <c r="E14" s="38" t="s">
        <v>29</v>
      </c>
      <c r="F14" s="38" t="s">
        <v>18</v>
      </c>
      <c r="G14" s="38" t="s">
        <v>19</v>
      </c>
      <c r="H14" s="38" t="s">
        <v>20</v>
      </c>
      <c r="I14" s="39">
        <v>8</v>
      </c>
      <c r="J14" s="40" t="s">
        <v>21</v>
      </c>
      <c r="K14" s="40" t="s">
        <v>30</v>
      </c>
      <c r="L14" s="38" t="s">
        <v>23</v>
      </c>
      <c r="M14" s="16" t="str">
        <f>IF(A14="","",TEXT(A14,"mmm yyyy"))</f>
        <v>Jun 2026</v>
      </c>
    </row>
    <row r="15" spans="1:13" ht="24">
      <c r="A15" s="36">
        <v>46198</v>
      </c>
      <c r="B15" s="37" t="s">
        <v>24</v>
      </c>
      <c r="C15" s="38" t="s">
        <v>27</v>
      </c>
      <c r="D15" s="38" t="s">
        <v>28</v>
      </c>
      <c r="E15" s="38" t="s">
        <v>29</v>
      </c>
      <c r="F15" s="38" t="s">
        <v>18</v>
      </c>
      <c r="G15" s="38" t="s">
        <v>19</v>
      </c>
      <c r="H15" s="38" t="s">
        <v>20</v>
      </c>
      <c r="I15" s="39">
        <v>8</v>
      </c>
      <c r="J15" s="40" t="s">
        <v>21</v>
      </c>
      <c r="K15" s="40" t="s">
        <v>30</v>
      </c>
      <c r="L15" s="38" t="s">
        <v>23</v>
      </c>
      <c r="M15" s="16" t="str">
        <f>IF(A15="","",TEXT(A15,"mmm yyyy"))</f>
        <v>Jun 2026</v>
      </c>
    </row>
    <row r="16" spans="1:13" ht="24">
      <c r="A16" s="36">
        <v>46199</v>
      </c>
      <c r="B16" s="37" t="s">
        <v>25</v>
      </c>
      <c r="C16" s="38" t="s">
        <v>27</v>
      </c>
      <c r="D16" s="38" t="s">
        <v>28</v>
      </c>
      <c r="E16" s="38" t="s">
        <v>29</v>
      </c>
      <c r="F16" s="38" t="s">
        <v>18</v>
      </c>
      <c r="G16" s="38" t="s">
        <v>19</v>
      </c>
      <c r="H16" s="38" t="s">
        <v>20</v>
      </c>
      <c r="I16" s="39">
        <v>8</v>
      </c>
      <c r="J16" s="40" t="s">
        <v>21</v>
      </c>
      <c r="K16" s="40" t="s">
        <v>30</v>
      </c>
      <c r="L16" s="38" t="s">
        <v>23</v>
      </c>
      <c r="M16" s="16" t="str">
        <f>IF(A16="","",TEXT(A16,"mmm yyyy"))</f>
        <v>Jun 2026</v>
      </c>
    </row>
    <row r="17" spans="1:13" ht="24">
      <c r="A17" s="36">
        <v>46202</v>
      </c>
      <c r="B17" s="37" t="s">
        <v>26</v>
      </c>
      <c r="C17" s="38" t="s">
        <v>27</v>
      </c>
      <c r="D17" s="38" t="s">
        <v>28</v>
      </c>
      <c r="E17" s="38" t="s">
        <v>29</v>
      </c>
      <c r="F17" s="38" t="s">
        <v>18</v>
      </c>
      <c r="G17" s="38" t="s">
        <v>19</v>
      </c>
      <c r="H17" s="38" t="s">
        <v>20</v>
      </c>
      <c r="I17" s="39">
        <v>8</v>
      </c>
      <c r="J17" s="40" t="s">
        <v>21</v>
      </c>
      <c r="K17" s="40" t="s">
        <v>30</v>
      </c>
      <c r="L17" s="38" t="s">
        <v>23</v>
      </c>
      <c r="M17" s="16" t="str">
        <f>IF(A17="","",TEXT(A17,"mmm yyyy"))</f>
        <v>Jun 2026</v>
      </c>
    </row>
    <row r="18" spans="1:13" ht="24">
      <c r="A18" s="36">
        <v>46203</v>
      </c>
      <c r="B18" s="37" t="s">
        <v>31</v>
      </c>
      <c r="C18" s="38" t="s">
        <v>27</v>
      </c>
      <c r="D18" s="38" t="s">
        <v>28</v>
      </c>
      <c r="E18" s="38" t="s">
        <v>29</v>
      </c>
      <c r="F18" s="38" t="s">
        <v>18</v>
      </c>
      <c r="G18" s="38" t="s">
        <v>19</v>
      </c>
      <c r="H18" s="38" t="s">
        <v>20</v>
      </c>
      <c r="I18" s="39">
        <v>8</v>
      </c>
      <c r="J18" s="40" t="s">
        <v>21</v>
      </c>
      <c r="K18" s="40" t="s">
        <v>30</v>
      </c>
      <c r="L18" s="38" t="s">
        <v>23</v>
      </c>
      <c r="M18" s="16" t="str">
        <f>IF(A18="","",TEXT(A18,"mmm yyyy"))</f>
        <v>Jun 2026</v>
      </c>
    </row>
    <row r="19" spans="1:13" ht="24">
      <c r="A19" s="36">
        <v>46204</v>
      </c>
      <c r="B19" s="37" t="s">
        <v>14</v>
      </c>
      <c r="C19" s="38" t="s">
        <v>27</v>
      </c>
      <c r="D19" s="38" t="s">
        <v>28</v>
      </c>
      <c r="E19" s="38" t="s">
        <v>29</v>
      </c>
      <c r="F19" s="38" t="s">
        <v>18</v>
      </c>
      <c r="G19" s="38" t="s">
        <v>19</v>
      </c>
      <c r="H19" s="38" t="s">
        <v>20</v>
      </c>
      <c r="I19" s="39">
        <v>8</v>
      </c>
      <c r="J19" s="40" t="s">
        <v>21</v>
      </c>
      <c r="K19" s="40" t="s">
        <v>30</v>
      </c>
      <c r="L19" s="38" t="s">
        <v>23</v>
      </c>
      <c r="M19" s="16" t="str">
        <f>IF(A19="","",TEXT(A19,"mmm yyyy"))</f>
        <v>Jul 2026</v>
      </c>
    </row>
    <row r="20" spans="1:13" ht="24">
      <c r="A20" s="36">
        <v>46205</v>
      </c>
      <c r="B20" s="37" t="s">
        <v>24</v>
      </c>
      <c r="C20" s="38" t="s">
        <v>27</v>
      </c>
      <c r="D20" s="38" t="s">
        <v>28</v>
      </c>
      <c r="E20" s="38" t="s">
        <v>29</v>
      </c>
      <c r="F20" s="38" t="s">
        <v>18</v>
      </c>
      <c r="G20" s="38" t="s">
        <v>19</v>
      </c>
      <c r="H20" s="38" t="s">
        <v>20</v>
      </c>
      <c r="I20" s="39">
        <v>8</v>
      </c>
      <c r="J20" s="40" t="s">
        <v>21</v>
      </c>
      <c r="K20" s="40" t="s">
        <v>30</v>
      </c>
      <c r="L20" s="38" t="s">
        <v>23</v>
      </c>
      <c r="M20" s="16" t="str">
        <f>IF(A20="","",TEXT(A20,"mmm yyyy"))</f>
        <v>Jul 2026</v>
      </c>
    </row>
    <row r="21" spans="1:13" ht="24">
      <c r="A21" s="36">
        <v>46206</v>
      </c>
      <c r="B21" s="37" t="s">
        <v>25</v>
      </c>
      <c r="C21" s="38" t="s">
        <v>27</v>
      </c>
      <c r="D21" s="38" t="s">
        <v>28</v>
      </c>
      <c r="E21" s="38" t="s">
        <v>29</v>
      </c>
      <c r="F21" s="38" t="s">
        <v>18</v>
      </c>
      <c r="G21" s="38" t="s">
        <v>19</v>
      </c>
      <c r="H21" s="38" t="s">
        <v>20</v>
      </c>
      <c r="I21" s="39">
        <v>8</v>
      </c>
      <c r="J21" s="40" t="s">
        <v>21</v>
      </c>
      <c r="K21" s="40" t="s">
        <v>30</v>
      </c>
      <c r="L21" s="38" t="s">
        <v>23</v>
      </c>
      <c r="M21" s="16" t="str">
        <f>IF(A21="","",TEXT(A21,"mmm yyyy"))</f>
        <v>Jul 2026</v>
      </c>
    </row>
    <row r="22" spans="1:13" ht="36">
      <c r="A22" s="36">
        <v>46209</v>
      </c>
      <c r="B22" s="37" t="s">
        <v>26</v>
      </c>
      <c r="C22" s="38" t="s">
        <v>27</v>
      </c>
      <c r="D22" s="38" t="s">
        <v>28</v>
      </c>
      <c r="E22" s="38" t="s">
        <v>32</v>
      </c>
      <c r="F22" s="38" t="s">
        <v>18</v>
      </c>
      <c r="G22" s="38" t="s">
        <v>19</v>
      </c>
      <c r="H22" s="38" t="s">
        <v>20</v>
      </c>
      <c r="I22" s="39">
        <v>8</v>
      </c>
      <c r="J22" s="40" t="s">
        <v>21</v>
      </c>
      <c r="K22" s="40" t="s">
        <v>30</v>
      </c>
      <c r="L22" s="38" t="s">
        <v>23</v>
      </c>
      <c r="M22" s="16" t="str">
        <f>IF(A22="","",TEXT(A22,"mmm yyyy"))</f>
        <v>Jul 2026</v>
      </c>
    </row>
    <row r="23" spans="1:13" ht="24">
      <c r="A23" s="36">
        <v>46210</v>
      </c>
      <c r="B23" s="37" t="s">
        <v>31</v>
      </c>
      <c r="C23" s="38" t="s">
        <v>33</v>
      </c>
      <c r="D23" s="38" t="s">
        <v>33</v>
      </c>
      <c r="E23" s="38" t="s">
        <v>34</v>
      </c>
      <c r="F23" s="38" t="s">
        <v>35</v>
      </c>
      <c r="G23" s="38" t="s">
        <v>36</v>
      </c>
      <c r="H23" s="38" t="s">
        <v>20</v>
      </c>
      <c r="I23" s="39">
        <v>8</v>
      </c>
      <c r="J23" s="40" t="s">
        <v>21</v>
      </c>
      <c r="K23" s="40" t="s">
        <v>22</v>
      </c>
      <c r="L23" s="38" t="s">
        <v>23</v>
      </c>
      <c r="M23" s="16" t="str">
        <f>IF(A23="","",TEXT(A23,"mmm yyyy"))</f>
        <v>Jul 2026</v>
      </c>
    </row>
    <row r="24" spans="1:13" ht="36">
      <c r="A24" s="36">
        <v>46211</v>
      </c>
      <c r="B24" s="37" t="s">
        <v>14</v>
      </c>
      <c r="C24" s="38" t="s">
        <v>27</v>
      </c>
      <c r="D24" s="38" t="s">
        <v>28</v>
      </c>
      <c r="E24" s="38" t="s">
        <v>32</v>
      </c>
      <c r="F24" s="38" t="s">
        <v>18</v>
      </c>
      <c r="G24" s="38" t="s">
        <v>19</v>
      </c>
      <c r="H24" s="38" t="s">
        <v>20</v>
      </c>
      <c r="I24" s="39">
        <v>8</v>
      </c>
      <c r="J24" s="40" t="s">
        <v>21</v>
      </c>
      <c r="K24" s="40" t="s">
        <v>30</v>
      </c>
      <c r="L24" s="38" t="s">
        <v>23</v>
      </c>
      <c r="M24" s="16" t="str">
        <f>IF(A24="","",TEXT(A24,"mmm yyyy"))</f>
        <v>Jul 2026</v>
      </c>
    </row>
    <row r="25" spans="1:13" ht="24">
      <c r="A25" s="36">
        <v>46212</v>
      </c>
      <c r="B25" s="37" t="s">
        <v>24</v>
      </c>
      <c r="C25" s="38" t="s">
        <v>33</v>
      </c>
      <c r="D25" s="38" t="s">
        <v>33</v>
      </c>
      <c r="E25" s="38" t="s">
        <v>37</v>
      </c>
      <c r="F25" s="38" t="s">
        <v>38</v>
      </c>
      <c r="G25" s="38" t="s">
        <v>36</v>
      </c>
      <c r="H25" s="38" t="s">
        <v>39</v>
      </c>
      <c r="I25" s="39">
        <v>8</v>
      </c>
      <c r="J25" s="40" t="s">
        <v>21</v>
      </c>
      <c r="K25" s="40" t="s">
        <v>22</v>
      </c>
      <c r="L25" s="38" t="s">
        <v>23</v>
      </c>
      <c r="M25" s="16" t="str">
        <f>IF(A25="","",TEXT(A25,"mmm yyyy"))</f>
        <v>Jul 2026</v>
      </c>
    </row>
    <row r="26" spans="1:13" ht="36">
      <c r="A26" s="36">
        <v>46213</v>
      </c>
      <c r="B26" s="37" t="s">
        <v>25</v>
      </c>
      <c r="C26" s="38" t="s">
        <v>27</v>
      </c>
      <c r="D26" s="38" t="s">
        <v>28</v>
      </c>
      <c r="E26" s="38" t="s">
        <v>32</v>
      </c>
      <c r="F26" s="38" t="s">
        <v>18</v>
      </c>
      <c r="G26" s="38" t="s">
        <v>19</v>
      </c>
      <c r="H26" s="38" t="s">
        <v>20</v>
      </c>
      <c r="I26" s="39">
        <v>8</v>
      </c>
      <c r="J26" s="40" t="s">
        <v>21</v>
      </c>
      <c r="K26" s="40" t="s">
        <v>30</v>
      </c>
      <c r="L26" s="38" t="s">
        <v>23</v>
      </c>
      <c r="M26" s="16" t="str">
        <f>IF(A26="","",TEXT(A26,"mmm yyyy"))</f>
        <v>Jul 2026</v>
      </c>
    </row>
    <row r="27" spans="1:13" ht="36">
      <c r="A27" s="36">
        <v>46216</v>
      </c>
      <c r="B27" s="37" t="s">
        <v>26</v>
      </c>
      <c r="C27" s="38" t="s">
        <v>27</v>
      </c>
      <c r="D27" s="38" t="s">
        <v>28</v>
      </c>
      <c r="E27" s="38" t="s">
        <v>32</v>
      </c>
      <c r="F27" s="38" t="s">
        <v>18</v>
      </c>
      <c r="G27" s="38" t="s">
        <v>19</v>
      </c>
      <c r="H27" s="38" t="s">
        <v>20</v>
      </c>
      <c r="I27" s="39">
        <v>8</v>
      </c>
      <c r="J27" s="40" t="s">
        <v>21</v>
      </c>
      <c r="K27" s="40" t="s">
        <v>30</v>
      </c>
      <c r="L27" s="38" t="s">
        <v>23</v>
      </c>
      <c r="M27" s="16" t="str">
        <f>IF(A27="","",TEXT(A27,"mmm yyyy"))</f>
        <v>Jul 2026</v>
      </c>
    </row>
    <row r="28" spans="1:13" ht="24">
      <c r="A28" s="36">
        <v>46217</v>
      </c>
      <c r="B28" s="37" t="s">
        <v>31</v>
      </c>
      <c r="C28" s="38" t="s">
        <v>33</v>
      </c>
      <c r="D28" s="38" t="s">
        <v>40</v>
      </c>
      <c r="E28" s="38" t="s">
        <v>41</v>
      </c>
      <c r="F28" s="38" t="s">
        <v>42</v>
      </c>
      <c r="G28" s="33" t="s">
        <v>43</v>
      </c>
      <c r="H28" s="38" t="s">
        <v>44</v>
      </c>
      <c r="I28" s="39">
        <v>8</v>
      </c>
      <c r="J28" s="40" t="s">
        <v>21</v>
      </c>
      <c r="K28" s="40" t="s">
        <v>22</v>
      </c>
      <c r="L28" s="38" t="s">
        <v>23</v>
      </c>
      <c r="M28" s="16" t="str">
        <f>IF(A28="","",TEXT(A28,"mmm yyyy"))</f>
        <v>Jul 2026</v>
      </c>
    </row>
    <row r="29" spans="1:13" ht="36">
      <c r="A29" s="36">
        <v>46218</v>
      </c>
      <c r="B29" s="37" t="s">
        <v>14</v>
      </c>
      <c r="C29" s="38" t="s">
        <v>27</v>
      </c>
      <c r="D29" s="38" t="s">
        <v>28</v>
      </c>
      <c r="E29" s="38" t="s">
        <v>32</v>
      </c>
      <c r="F29" s="38" t="s">
        <v>18</v>
      </c>
      <c r="G29" s="38" t="s">
        <v>19</v>
      </c>
      <c r="H29" s="38" t="s">
        <v>20</v>
      </c>
      <c r="I29" s="39">
        <v>8</v>
      </c>
      <c r="J29" s="40" t="s">
        <v>21</v>
      </c>
      <c r="K29" s="40" t="s">
        <v>30</v>
      </c>
      <c r="L29" s="38" t="s">
        <v>23</v>
      </c>
      <c r="M29" s="16" t="str">
        <f>IF(A29="","",TEXT(A29,"mmm yyyy"))</f>
        <v>Jul 2026</v>
      </c>
    </row>
    <row r="30" spans="1:13" ht="24">
      <c r="A30" s="36">
        <v>46219</v>
      </c>
      <c r="B30" s="37" t="s">
        <v>24</v>
      </c>
      <c r="C30" s="38" t="s">
        <v>33</v>
      </c>
      <c r="D30" s="38" t="s">
        <v>33</v>
      </c>
      <c r="E30" s="38" t="s">
        <v>34</v>
      </c>
      <c r="F30" s="38" t="s">
        <v>35</v>
      </c>
      <c r="G30" s="38" t="s">
        <v>36</v>
      </c>
      <c r="H30" s="38" t="s">
        <v>20</v>
      </c>
      <c r="I30" s="39">
        <v>8</v>
      </c>
      <c r="J30" s="40" t="s">
        <v>21</v>
      </c>
      <c r="K30" s="40" t="s">
        <v>22</v>
      </c>
      <c r="L30" s="38" t="s">
        <v>23</v>
      </c>
      <c r="M30" s="16" t="str">
        <f>IF(A30="","",TEXT(A30,"mmm yyyy"))</f>
        <v>Jul 2026</v>
      </c>
    </row>
    <row r="31" spans="1:13" ht="36">
      <c r="A31" s="36">
        <v>46220</v>
      </c>
      <c r="B31" s="37" t="s">
        <v>25</v>
      </c>
      <c r="C31" s="38" t="s">
        <v>27</v>
      </c>
      <c r="D31" s="38" t="s">
        <v>28</v>
      </c>
      <c r="E31" s="38" t="s">
        <v>32</v>
      </c>
      <c r="F31" s="38" t="s">
        <v>18</v>
      </c>
      <c r="G31" s="38" t="s">
        <v>19</v>
      </c>
      <c r="H31" s="38" t="s">
        <v>20</v>
      </c>
      <c r="I31" s="39">
        <v>8</v>
      </c>
      <c r="J31" s="40" t="s">
        <v>21</v>
      </c>
      <c r="K31" s="40" t="s">
        <v>30</v>
      </c>
      <c r="L31" s="38" t="s">
        <v>23</v>
      </c>
      <c r="M31" s="16" t="str">
        <f>IF(A31="","",TEXT(A31,"mmm yyyy"))</f>
        <v>Jul 2026</v>
      </c>
    </row>
    <row r="32" spans="1:13" ht="24">
      <c r="A32" s="36">
        <v>46223</v>
      </c>
      <c r="B32" s="37" t="s">
        <v>26</v>
      </c>
      <c r="C32" s="38" t="s">
        <v>33</v>
      </c>
      <c r="D32" s="38" t="s">
        <v>33</v>
      </c>
      <c r="E32" s="38" t="s">
        <v>34</v>
      </c>
      <c r="F32" s="38" t="s">
        <v>35</v>
      </c>
      <c r="G32" s="38" t="s">
        <v>36</v>
      </c>
      <c r="H32" s="38" t="s">
        <v>20</v>
      </c>
      <c r="I32" s="39">
        <v>8</v>
      </c>
      <c r="J32" s="40" t="s">
        <v>21</v>
      </c>
      <c r="K32" s="40" t="s">
        <v>22</v>
      </c>
      <c r="L32" s="38" t="s">
        <v>23</v>
      </c>
      <c r="M32" s="16" t="str">
        <f>IF(A32="","",TEXT(A32,"mmm yyyy"))</f>
        <v>Jul 2026</v>
      </c>
    </row>
    <row r="33" spans="1:13" ht="24">
      <c r="A33" s="36">
        <v>46223</v>
      </c>
      <c r="B33" s="37" t="s">
        <v>26</v>
      </c>
      <c r="C33" s="38" t="s">
        <v>45</v>
      </c>
      <c r="D33" s="38" t="s">
        <v>46</v>
      </c>
      <c r="E33" s="38" t="s">
        <v>47</v>
      </c>
      <c r="F33" s="38" t="s">
        <v>48</v>
      </c>
      <c r="G33" s="38" t="s">
        <v>45</v>
      </c>
      <c r="H33" s="38" t="s">
        <v>49</v>
      </c>
      <c r="I33" s="39">
        <v>1.5</v>
      </c>
      <c r="J33" s="40" t="s">
        <v>21</v>
      </c>
      <c r="K33" s="40" t="s">
        <v>50</v>
      </c>
      <c r="L33" s="38" t="s">
        <v>23</v>
      </c>
      <c r="M33" s="16" t="str">
        <f>IF(A33="","",TEXT(A33,"mmm yyyy"))</f>
        <v>Jul 2026</v>
      </c>
    </row>
    <row r="34" spans="1:13" ht="36">
      <c r="A34" s="36">
        <v>46224</v>
      </c>
      <c r="B34" s="37" t="s">
        <v>31</v>
      </c>
      <c r="C34" s="38" t="s">
        <v>33</v>
      </c>
      <c r="D34" s="38" t="s">
        <v>33</v>
      </c>
      <c r="E34" s="38" t="s">
        <v>51</v>
      </c>
      <c r="F34" s="38" t="s">
        <v>38</v>
      </c>
      <c r="G34" s="38" t="s">
        <v>36</v>
      </c>
      <c r="H34" s="38" t="s">
        <v>39</v>
      </c>
      <c r="I34" s="39">
        <v>8</v>
      </c>
      <c r="J34" s="40" t="s">
        <v>21</v>
      </c>
      <c r="K34" s="40" t="s">
        <v>22</v>
      </c>
      <c r="L34" s="38" t="s">
        <v>23</v>
      </c>
      <c r="M34" s="16" t="str">
        <f>IF(A34="","",TEXT(A34,"mmm yyyy"))</f>
        <v>Jul 2026</v>
      </c>
    </row>
    <row r="35" spans="1:13" ht="24">
      <c r="A35" s="36">
        <v>46225</v>
      </c>
      <c r="B35" s="37" t="s">
        <v>14</v>
      </c>
      <c r="C35" s="38" t="s">
        <v>33</v>
      </c>
      <c r="D35" s="38" t="s">
        <v>40</v>
      </c>
      <c r="E35" s="38" t="s">
        <v>41</v>
      </c>
      <c r="F35" s="38" t="s">
        <v>42</v>
      </c>
      <c r="G35" s="33" t="s">
        <v>43</v>
      </c>
      <c r="H35" s="38" t="s">
        <v>44</v>
      </c>
      <c r="I35" s="39">
        <v>6</v>
      </c>
      <c r="J35" s="40" t="s">
        <v>21</v>
      </c>
      <c r="K35" s="40" t="s">
        <v>22</v>
      </c>
      <c r="L35" s="38" t="s">
        <v>23</v>
      </c>
      <c r="M35" s="16" t="str">
        <f>IF(A35="","",TEXT(A35,"mmm yyyy"))</f>
        <v>Jul 2026</v>
      </c>
    </row>
    <row r="36" spans="1:13" ht="24">
      <c r="A36" s="36">
        <v>46225</v>
      </c>
      <c r="B36" s="37" t="s">
        <v>14</v>
      </c>
      <c r="C36" s="38" t="s">
        <v>52</v>
      </c>
      <c r="D36" s="38" t="s">
        <v>53</v>
      </c>
      <c r="E36" s="38" t="s">
        <v>54</v>
      </c>
      <c r="F36" s="38" t="s">
        <v>55</v>
      </c>
      <c r="G36" s="38" t="s">
        <v>56</v>
      </c>
      <c r="H36" s="38" t="s">
        <v>57</v>
      </c>
      <c r="I36" s="39">
        <v>2</v>
      </c>
      <c r="J36" s="40" t="s">
        <v>21</v>
      </c>
      <c r="K36" s="40" t="s">
        <v>22</v>
      </c>
      <c r="L36" s="38" t="s">
        <v>23</v>
      </c>
      <c r="M36" s="16" t="str">
        <f>IF(A36="","",TEXT(A36,"mmm yyyy"))</f>
        <v>Jul 2026</v>
      </c>
    </row>
    <row r="37" spans="1:13" ht="24">
      <c r="A37" s="36">
        <v>46226</v>
      </c>
      <c r="B37" s="37" t="s">
        <v>24</v>
      </c>
      <c r="C37" s="38" t="s">
        <v>33</v>
      </c>
      <c r="D37" s="38" t="s">
        <v>33</v>
      </c>
      <c r="E37" s="38" t="s">
        <v>34</v>
      </c>
      <c r="F37" s="38" t="s">
        <v>35</v>
      </c>
      <c r="G37" s="38" t="s">
        <v>36</v>
      </c>
      <c r="H37" s="38" t="s">
        <v>20</v>
      </c>
      <c r="I37" s="39">
        <v>8</v>
      </c>
      <c r="J37" s="40" t="s">
        <v>21</v>
      </c>
      <c r="K37" s="40" t="s">
        <v>22</v>
      </c>
      <c r="L37" s="38" t="s">
        <v>23</v>
      </c>
      <c r="M37" s="16" t="str">
        <f>IF(A37="","",TEXT(A37,"mmm yyyy"))</f>
        <v>Jul 2026</v>
      </c>
    </row>
    <row r="38" spans="1:13" ht="24">
      <c r="A38" s="36">
        <v>46226</v>
      </c>
      <c r="B38" s="37" t="s">
        <v>24</v>
      </c>
      <c r="C38" s="38" t="s">
        <v>45</v>
      </c>
      <c r="D38" s="38" t="s">
        <v>46</v>
      </c>
      <c r="E38" s="38" t="s">
        <v>47</v>
      </c>
      <c r="F38" s="38" t="s">
        <v>48</v>
      </c>
      <c r="G38" s="38" t="s">
        <v>45</v>
      </c>
      <c r="H38" s="38" t="s">
        <v>49</v>
      </c>
      <c r="I38" s="39">
        <v>1.5</v>
      </c>
      <c r="J38" s="40" t="s">
        <v>21</v>
      </c>
      <c r="K38" s="40" t="s">
        <v>50</v>
      </c>
      <c r="L38" s="38" t="s">
        <v>23</v>
      </c>
      <c r="M38" s="16" t="str">
        <f>IF(A38="","",TEXT(A38,"mmm yyyy"))</f>
        <v>Jul 2026</v>
      </c>
    </row>
    <row r="39" spans="1:13" ht="36">
      <c r="A39" s="36">
        <v>46227</v>
      </c>
      <c r="B39" s="37" t="s">
        <v>25</v>
      </c>
      <c r="C39" s="38" t="s">
        <v>33</v>
      </c>
      <c r="D39" s="38" t="s">
        <v>33</v>
      </c>
      <c r="E39" s="38" t="s">
        <v>51</v>
      </c>
      <c r="F39" s="38" t="s">
        <v>38</v>
      </c>
      <c r="G39" s="38" t="s">
        <v>36</v>
      </c>
      <c r="H39" s="38" t="s">
        <v>39</v>
      </c>
      <c r="I39" s="39">
        <v>7</v>
      </c>
      <c r="J39" s="40" t="s">
        <v>21</v>
      </c>
      <c r="K39" s="40" t="s">
        <v>22</v>
      </c>
      <c r="L39" s="38" t="s">
        <v>23</v>
      </c>
      <c r="M39" s="16" t="str">
        <f>IF(A39="","",TEXT(A39,"mmm yyyy"))</f>
        <v>Jul 2026</v>
      </c>
    </row>
    <row r="40" spans="1:13" ht="24">
      <c r="A40" s="36">
        <v>46227</v>
      </c>
      <c r="B40" s="37" t="s">
        <v>25</v>
      </c>
      <c r="C40" s="38" t="s">
        <v>58</v>
      </c>
      <c r="D40" s="38" t="s">
        <v>59</v>
      </c>
      <c r="E40" s="38" t="s">
        <v>60</v>
      </c>
      <c r="F40" s="38" t="s">
        <v>48</v>
      </c>
      <c r="G40" s="38" t="s">
        <v>61</v>
      </c>
      <c r="H40" s="38" t="s">
        <v>58</v>
      </c>
      <c r="I40" s="39">
        <v>1</v>
      </c>
      <c r="J40" s="40" t="s">
        <v>21</v>
      </c>
      <c r="K40" s="40" t="s">
        <v>50</v>
      </c>
      <c r="L40" s="38" t="s">
        <v>23</v>
      </c>
      <c r="M40" s="16" t="str">
        <f>IF(A40="","",TEXT(A40,"mmm yyyy"))</f>
        <v>Jul 2026</v>
      </c>
    </row>
    <row r="41" spans="1:13" ht="24">
      <c r="A41" s="36">
        <v>46230</v>
      </c>
      <c r="B41" s="37" t="s">
        <v>26</v>
      </c>
      <c r="C41" s="38" t="s">
        <v>33</v>
      </c>
      <c r="D41" s="38" t="s">
        <v>40</v>
      </c>
      <c r="E41" s="38" t="s">
        <v>41</v>
      </c>
      <c r="F41" s="38" t="s">
        <v>42</v>
      </c>
      <c r="G41" s="33" t="s">
        <v>43</v>
      </c>
      <c r="H41" s="38" t="s">
        <v>44</v>
      </c>
      <c r="I41" s="39">
        <v>8</v>
      </c>
      <c r="J41" s="40" t="s">
        <v>21</v>
      </c>
      <c r="K41" s="40" t="s">
        <v>22</v>
      </c>
      <c r="L41" s="38" t="s">
        <v>23</v>
      </c>
      <c r="M41" s="16" t="str">
        <f>IF(A41="","",TEXT(A41,"mmm yyyy"))</f>
        <v>Jul 2026</v>
      </c>
    </row>
    <row r="42" spans="1:13" ht="24">
      <c r="A42" s="36">
        <v>46230</v>
      </c>
      <c r="B42" s="37" t="s">
        <v>26</v>
      </c>
      <c r="C42" s="38" t="s">
        <v>45</v>
      </c>
      <c r="D42" s="38" t="s">
        <v>46</v>
      </c>
      <c r="E42" s="38" t="s">
        <v>47</v>
      </c>
      <c r="F42" s="38" t="s">
        <v>48</v>
      </c>
      <c r="G42" s="38" t="s">
        <v>45</v>
      </c>
      <c r="H42" s="38" t="s">
        <v>49</v>
      </c>
      <c r="I42" s="39">
        <v>1.5</v>
      </c>
      <c r="J42" s="40" t="s">
        <v>21</v>
      </c>
      <c r="K42" s="40" t="s">
        <v>50</v>
      </c>
      <c r="L42" s="38" t="s">
        <v>23</v>
      </c>
      <c r="M42" s="16" t="str">
        <f>IF(A42="","",TEXT(A42,"mmm yyyy"))</f>
        <v>Jul 2026</v>
      </c>
    </row>
    <row r="43" spans="1:13" ht="24">
      <c r="A43" s="36">
        <v>46231</v>
      </c>
      <c r="B43" s="37" t="s">
        <v>31</v>
      </c>
      <c r="C43" s="38" t="s">
        <v>33</v>
      </c>
      <c r="D43" s="38" t="s">
        <v>33</v>
      </c>
      <c r="E43" s="38" t="s">
        <v>34</v>
      </c>
      <c r="F43" s="38" t="s">
        <v>35</v>
      </c>
      <c r="G43" s="38" t="s">
        <v>36</v>
      </c>
      <c r="H43" s="38" t="s">
        <v>20</v>
      </c>
      <c r="I43" s="39">
        <v>8</v>
      </c>
      <c r="J43" s="40" t="s">
        <v>21</v>
      </c>
      <c r="K43" s="40" t="s">
        <v>22</v>
      </c>
      <c r="L43" s="38" t="s">
        <v>23</v>
      </c>
      <c r="M43" s="16" t="str">
        <f>IF(A43="","",TEXT(A43,"mmm yyyy"))</f>
        <v>Jul 2026</v>
      </c>
    </row>
    <row r="44" spans="1:13" ht="36">
      <c r="A44" s="36">
        <v>46232</v>
      </c>
      <c r="B44" s="37" t="s">
        <v>14</v>
      </c>
      <c r="C44" s="38" t="s">
        <v>33</v>
      </c>
      <c r="D44" s="38" t="s">
        <v>33</v>
      </c>
      <c r="E44" s="38" t="s">
        <v>51</v>
      </c>
      <c r="F44" s="38" t="s">
        <v>38</v>
      </c>
      <c r="G44" s="38" t="s">
        <v>36</v>
      </c>
      <c r="H44" s="38" t="s">
        <v>39</v>
      </c>
      <c r="I44" s="39">
        <v>6</v>
      </c>
      <c r="J44" s="40" t="s">
        <v>21</v>
      </c>
      <c r="K44" s="40" t="s">
        <v>22</v>
      </c>
      <c r="L44" s="38" t="s">
        <v>23</v>
      </c>
      <c r="M44" s="16" t="str">
        <f>IF(A44="","",TEXT(A44,"mmm yyyy"))</f>
        <v>Jul 2026</v>
      </c>
    </row>
    <row r="45" spans="1:13" ht="24">
      <c r="A45" s="36">
        <v>46232</v>
      </c>
      <c r="B45" s="37" t="s">
        <v>14</v>
      </c>
      <c r="C45" s="38" t="s">
        <v>62</v>
      </c>
      <c r="D45" s="38" t="s">
        <v>63</v>
      </c>
      <c r="E45" s="38" t="s">
        <v>54</v>
      </c>
      <c r="F45" s="38" t="s">
        <v>55</v>
      </c>
      <c r="G45" s="38" t="s">
        <v>56</v>
      </c>
      <c r="H45" s="38" t="s">
        <v>57</v>
      </c>
      <c r="I45" s="39">
        <v>2</v>
      </c>
      <c r="J45" s="40" t="s">
        <v>21</v>
      </c>
      <c r="K45" s="40" t="s">
        <v>22</v>
      </c>
      <c r="L45" s="38" t="s">
        <v>23</v>
      </c>
      <c r="M45" s="16" t="str">
        <f>IF(A45="","",TEXT(A45,"mmm yyyy"))</f>
        <v>Jul 2026</v>
      </c>
    </row>
    <row r="46" spans="1:13" ht="24">
      <c r="A46" s="36">
        <v>46233</v>
      </c>
      <c r="B46" s="37" t="s">
        <v>24</v>
      </c>
      <c r="C46" s="38" t="s">
        <v>33</v>
      </c>
      <c r="D46" s="38" t="s">
        <v>40</v>
      </c>
      <c r="E46" s="38" t="s">
        <v>41</v>
      </c>
      <c r="F46" s="38" t="s">
        <v>42</v>
      </c>
      <c r="G46" s="33" t="s">
        <v>43</v>
      </c>
      <c r="H46" s="38" t="s">
        <v>44</v>
      </c>
      <c r="I46" s="39">
        <v>8</v>
      </c>
      <c r="J46" s="40" t="s">
        <v>21</v>
      </c>
      <c r="K46" s="40" t="s">
        <v>22</v>
      </c>
      <c r="L46" s="38" t="s">
        <v>23</v>
      </c>
      <c r="M46" s="16" t="str">
        <f>IF(A46="","",TEXT(A46,"mmm yyyy"))</f>
        <v>Jul 2026</v>
      </c>
    </row>
    <row r="47" spans="1:13" ht="24">
      <c r="A47" s="36">
        <v>46233</v>
      </c>
      <c r="B47" s="37" t="s">
        <v>24</v>
      </c>
      <c r="C47" s="38" t="s">
        <v>45</v>
      </c>
      <c r="D47" s="38" t="s">
        <v>46</v>
      </c>
      <c r="E47" s="38" t="s">
        <v>47</v>
      </c>
      <c r="F47" s="38" t="s">
        <v>48</v>
      </c>
      <c r="G47" s="38" t="s">
        <v>45</v>
      </c>
      <c r="H47" s="38" t="s">
        <v>49</v>
      </c>
      <c r="I47" s="39">
        <v>1.5</v>
      </c>
      <c r="J47" s="40" t="s">
        <v>21</v>
      </c>
      <c r="K47" s="40" t="s">
        <v>50</v>
      </c>
      <c r="L47" s="38" t="s">
        <v>23</v>
      </c>
      <c r="M47" s="16" t="str">
        <f>IF(A47="","",TEXT(A47,"mmm yyyy"))</f>
        <v>Jul 2026</v>
      </c>
    </row>
    <row r="48" spans="1:13" ht="24">
      <c r="A48" s="36">
        <v>46234</v>
      </c>
      <c r="B48" s="37" t="s">
        <v>25</v>
      </c>
      <c r="C48" s="38" t="s">
        <v>33</v>
      </c>
      <c r="D48" s="38" t="s">
        <v>33</v>
      </c>
      <c r="E48" s="38" t="s">
        <v>34</v>
      </c>
      <c r="F48" s="38" t="s">
        <v>35</v>
      </c>
      <c r="G48" s="38" t="s">
        <v>36</v>
      </c>
      <c r="H48" s="38" t="s">
        <v>20</v>
      </c>
      <c r="I48" s="39">
        <v>8</v>
      </c>
      <c r="J48" s="40" t="s">
        <v>21</v>
      </c>
      <c r="K48" s="40" t="s">
        <v>22</v>
      </c>
      <c r="L48" s="38" t="s">
        <v>23</v>
      </c>
      <c r="M48" s="16" t="str">
        <f>IF(A48="","",TEXT(A48,"mmm yyyy"))</f>
        <v>Jul 2026</v>
      </c>
    </row>
    <row r="49" spans="1:13" ht="36">
      <c r="A49" s="36">
        <v>46237</v>
      </c>
      <c r="B49" s="37" t="s">
        <v>26</v>
      </c>
      <c r="C49" s="38" t="s">
        <v>33</v>
      </c>
      <c r="D49" s="38" t="s">
        <v>33</v>
      </c>
      <c r="E49" s="38" t="s">
        <v>51</v>
      </c>
      <c r="F49" s="38" t="s">
        <v>38</v>
      </c>
      <c r="G49" s="38" t="s">
        <v>36</v>
      </c>
      <c r="H49" s="38" t="s">
        <v>39</v>
      </c>
      <c r="I49" s="39">
        <v>8</v>
      </c>
      <c r="J49" s="40" t="s">
        <v>21</v>
      </c>
      <c r="K49" s="40" t="s">
        <v>22</v>
      </c>
      <c r="L49" s="38" t="s">
        <v>23</v>
      </c>
      <c r="M49" s="16" t="str">
        <f>IF(A49="","",TEXT(A49,"mmm yyyy"))</f>
        <v>Aug 2026</v>
      </c>
    </row>
    <row r="50" spans="1:13" ht="24">
      <c r="A50" s="36">
        <v>46237</v>
      </c>
      <c r="B50" s="37" t="s">
        <v>26</v>
      </c>
      <c r="C50" s="38" t="s">
        <v>45</v>
      </c>
      <c r="D50" s="38" t="s">
        <v>46</v>
      </c>
      <c r="E50" s="38" t="s">
        <v>47</v>
      </c>
      <c r="F50" s="38" t="s">
        <v>48</v>
      </c>
      <c r="G50" s="38" t="s">
        <v>45</v>
      </c>
      <c r="H50" s="38" t="s">
        <v>49</v>
      </c>
      <c r="I50" s="39">
        <v>1.5</v>
      </c>
      <c r="J50" s="40" t="s">
        <v>21</v>
      </c>
      <c r="K50" s="40" t="s">
        <v>50</v>
      </c>
      <c r="L50" s="38" t="s">
        <v>23</v>
      </c>
      <c r="M50" s="16" t="str">
        <f>IF(A50="","",TEXT(A50,"mmm yyyy"))</f>
        <v>Aug 2026</v>
      </c>
    </row>
    <row r="51" spans="1:13" ht="24">
      <c r="A51" s="36">
        <v>46238</v>
      </c>
      <c r="B51" s="37" t="s">
        <v>31</v>
      </c>
      <c r="C51" s="38" t="s">
        <v>33</v>
      </c>
      <c r="D51" s="38" t="s">
        <v>40</v>
      </c>
      <c r="E51" s="38" t="s">
        <v>41</v>
      </c>
      <c r="F51" s="38" t="s">
        <v>42</v>
      </c>
      <c r="G51" s="33" t="s">
        <v>43</v>
      </c>
      <c r="H51" s="38" t="s">
        <v>44</v>
      </c>
      <c r="I51" s="39">
        <v>8</v>
      </c>
      <c r="J51" s="40" t="s">
        <v>21</v>
      </c>
      <c r="K51" s="40" t="s">
        <v>22</v>
      </c>
      <c r="L51" s="38" t="s">
        <v>23</v>
      </c>
      <c r="M51" s="16" t="str">
        <f>IF(A51="","",TEXT(A51,"mmm yyyy"))</f>
        <v>Aug 2026</v>
      </c>
    </row>
    <row r="52" spans="1:13" ht="24">
      <c r="A52" s="36">
        <v>46239</v>
      </c>
      <c r="B52" s="37" t="s">
        <v>14</v>
      </c>
      <c r="C52" s="38" t="s">
        <v>33</v>
      </c>
      <c r="D52" s="38" t="s">
        <v>33</v>
      </c>
      <c r="E52" s="38" t="s">
        <v>34</v>
      </c>
      <c r="F52" s="38" t="s">
        <v>35</v>
      </c>
      <c r="G52" s="38" t="s">
        <v>36</v>
      </c>
      <c r="H52" s="38" t="s">
        <v>20</v>
      </c>
      <c r="I52" s="39">
        <v>6</v>
      </c>
      <c r="J52" s="40" t="s">
        <v>21</v>
      </c>
      <c r="K52" s="40" t="s">
        <v>22</v>
      </c>
      <c r="L52" s="38" t="s">
        <v>23</v>
      </c>
      <c r="M52" s="16" t="str">
        <f>IF(A52="","",TEXT(A52,"mmm yyyy"))</f>
        <v>Aug 2026</v>
      </c>
    </row>
    <row r="53" spans="1:13" ht="24">
      <c r="A53" s="36">
        <v>46239</v>
      </c>
      <c r="B53" s="37" t="s">
        <v>14</v>
      </c>
      <c r="C53" s="38" t="s">
        <v>52</v>
      </c>
      <c r="D53" s="38" t="s">
        <v>53</v>
      </c>
      <c r="E53" s="38" t="s">
        <v>54</v>
      </c>
      <c r="F53" s="38" t="s">
        <v>55</v>
      </c>
      <c r="G53" s="38" t="s">
        <v>56</v>
      </c>
      <c r="H53" s="38" t="s">
        <v>57</v>
      </c>
      <c r="I53" s="39">
        <v>2</v>
      </c>
      <c r="J53" s="40" t="s">
        <v>21</v>
      </c>
      <c r="K53" s="40" t="s">
        <v>22</v>
      </c>
      <c r="L53" s="38" t="s">
        <v>23</v>
      </c>
      <c r="M53" s="16" t="str">
        <f>IF(A53="","",TEXT(A53,"mmm yyyy"))</f>
        <v>Aug 2026</v>
      </c>
    </row>
    <row r="54" spans="1:13" ht="36">
      <c r="A54" s="36">
        <v>46240</v>
      </c>
      <c r="B54" s="37" t="s">
        <v>24</v>
      </c>
      <c r="C54" s="38" t="s">
        <v>33</v>
      </c>
      <c r="D54" s="38" t="s">
        <v>33</v>
      </c>
      <c r="E54" s="38" t="s">
        <v>51</v>
      </c>
      <c r="F54" s="38" t="s">
        <v>38</v>
      </c>
      <c r="G54" s="38" t="s">
        <v>36</v>
      </c>
      <c r="H54" s="38" t="s">
        <v>39</v>
      </c>
      <c r="I54" s="39">
        <v>8</v>
      </c>
      <c r="J54" s="40" t="s">
        <v>21</v>
      </c>
      <c r="K54" s="40" t="s">
        <v>22</v>
      </c>
      <c r="L54" s="38" t="s">
        <v>23</v>
      </c>
      <c r="M54" s="16" t="str">
        <f>IF(A54="","",TEXT(A54,"mmm yyyy"))</f>
        <v>Aug 2026</v>
      </c>
    </row>
    <row r="55" spans="1:13" ht="24">
      <c r="A55" s="36">
        <v>46240</v>
      </c>
      <c r="B55" s="37" t="s">
        <v>24</v>
      </c>
      <c r="C55" s="38" t="s">
        <v>45</v>
      </c>
      <c r="D55" s="38" t="s">
        <v>46</v>
      </c>
      <c r="E55" s="38" t="s">
        <v>47</v>
      </c>
      <c r="F55" s="38" t="s">
        <v>48</v>
      </c>
      <c r="G55" s="38" t="s">
        <v>45</v>
      </c>
      <c r="H55" s="38" t="s">
        <v>49</v>
      </c>
      <c r="I55" s="39">
        <v>1.5</v>
      </c>
      <c r="J55" s="40" t="s">
        <v>21</v>
      </c>
      <c r="K55" s="40" t="s">
        <v>50</v>
      </c>
      <c r="L55" s="38" t="s">
        <v>23</v>
      </c>
      <c r="M55" s="16" t="str">
        <f>IF(A55="","",TEXT(A55,"mmm yyyy"))</f>
        <v>Aug 2026</v>
      </c>
    </row>
    <row r="56" spans="1:13" ht="24">
      <c r="A56" s="36">
        <v>46241</v>
      </c>
      <c r="B56" s="37" t="s">
        <v>25</v>
      </c>
      <c r="C56" s="38" t="s">
        <v>33</v>
      </c>
      <c r="D56" s="38" t="s">
        <v>40</v>
      </c>
      <c r="E56" s="38" t="s">
        <v>41</v>
      </c>
      <c r="F56" s="38" t="s">
        <v>42</v>
      </c>
      <c r="G56" s="33" t="s">
        <v>43</v>
      </c>
      <c r="H56" s="38" t="s">
        <v>44</v>
      </c>
      <c r="I56" s="39">
        <v>7</v>
      </c>
      <c r="J56" s="40" t="s">
        <v>21</v>
      </c>
      <c r="K56" s="40" t="s">
        <v>22</v>
      </c>
      <c r="L56" s="38" t="s">
        <v>23</v>
      </c>
      <c r="M56" s="16" t="str">
        <f>IF(A56="","",TEXT(A56,"mmm yyyy"))</f>
        <v>Aug 2026</v>
      </c>
    </row>
    <row r="57" spans="1:13" ht="24">
      <c r="A57" s="36">
        <v>46241</v>
      </c>
      <c r="B57" s="37" t="s">
        <v>25</v>
      </c>
      <c r="C57" s="38" t="s">
        <v>58</v>
      </c>
      <c r="D57" s="38" t="s">
        <v>59</v>
      </c>
      <c r="E57" s="38" t="s">
        <v>60</v>
      </c>
      <c r="F57" s="38" t="s">
        <v>48</v>
      </c>
      <c r="G57" s="38" t="s">
        <v>61</v>
      </c>
      <c r="H57" s="38" t="s">
        <v>58</v>
      </c>
      <c r="I57" s="39">
        <v>1</v>
      </c>
      <c r="J57" s="40" t="s">
        <v>21</v>
      </c>
      <c r="K57" s="40" t="s">
        <v>50</v>
      </c>
      <c r="L57" s="38" t="s">
        <v>23</v>
      </c>
      <c r="M57" s="16" t="str">
        <f>IF(A57="","",TEXT(A57,"mmm yyyy"))</f>
        <v>Aug 2026</v>
      </c>
    </row>
    <row r="58" spans="1:13" ht="24">
      <c r="A58" s="36">
        <v>46244</v>
      </c>
      <c r="B58" s="37" t="s">
        <v>26</v>
      </c>
      <c r="C58" s="38" t="s">
        <v>33</v>
      </c>
      <c r="D58" s="38" t="s">
        <v>33</v>
      </c>
      <c r="E58" s="38" t="s">
        <v>34</v>
      </c>
      <c r="F58" s="38" t="s">
        <v>35</v>
      </c>
      <c r="G58" s="38" t="s">
        <v>36</v>
      </c>
      <c r="H58" s="38" t="s">
        <v>20</v>
      </c>
      <c r="I58" s="39">
        <v>8</v>
      </c>
      <c r="J58" s="40" t="s">
        <v>21</v>
      </c>
      <c r="K58" s="40" t="s">
        <v>22</v>
      </c>
      <c r="L58" s="38" t="s">
        <v>64</v>
      </c>
      <c r="M58" s="16" t="str">
        <f>IF(A58="","",TEXT(A58,"mmm yyyy"))</f>
        <v>Aug 2026</v>
      </c>
    </row>
    <row r="59" spans="1:13" ht="24">
      <c r="A59" s="36">
        <v>46244</v>
      </c>
      <c r="B59" s="37" t="s">
        <v>26</v>
      </c>
      <c r="C59" s="38" t="s">
        <v>45</v>
      </c>
      <c r="D59" s="38" t="s">
        <v>46</v>
      </c>
      <c r="E59" s="38" t="s">
        <v>47</v>
      </c>
      <c r="F59" s="38" t="s">
        <v>48</v>
      </c>
      <c r="G59" s="38" t="s">
        <v>45</v>
      </c>
      <c r="H59" s="38" t="s">
        <v>49</v>
      </c>
      <c r="I59" s="39">
        <v>1.5</v>
      </c>
      <c r="J59" s="40" t="s">
        <v>21</v>
      </c>
      <c r="K59" s="40" t="s">
        <v>50</v>
      </c>
      <c r="L59" s="38" t="s">
        <v>64</v>
      </c>
      <c r="M59" s="16" t="str">
        <f>IF(A59="","",TEXT(A59,"mmm yyyy"))</f>
        <v>Aug 2026</v>
      </c>
    </row>
    <row r="60" spans="1:13" ht="36">
      <c r="A60" s="36">
        <v>46245</v>
      </c>
      <c r="B60" s="37" t="s">
        <v>31</v>
      </c>
      <c r="C60" s="38" t="s">
        <v>33</v>
      </c>
      <c r="D60" s="38" t="s">
        <v>33</v>
      </c>
      <c r="E60" s="38" t="s">
        <v>51</v>
      </c>
      <c r="F60" s="38" t="s">
        <v>38</v>
      </c>
      <c r="G60" s="38" t="s">
        <v>36</v>
      </c>
      <c r="H60" s="38" t="s">
        <v>39</v>
      </c>
      <c r="I60" s="39">
        <v>8</v>
      </c>
      <c r="J60" s="40" t="s">
        <v>21</v>
      </c>
      <c r="K60" s="40" t="s">
        <v>22</v>
      </c>
      <c r="L60" s="38" t="s">
        <v>64</v>
      </c>
      <c r="M60" s="16" t="str">
        <f>IF(A60="","",TEXT(A60,"mmm yyyy"))</f>
        <v>Aug 2026</v>
      </c>
    </row>
    <row r="61" spans="1:13" ht="24">
      <c r="A61" s="36">
        <v>46246</v>
      </c>
      <c r="B61" s="37" t="s">
        <v>14</v>
      </c>
      <c r="C61" s="38" t="s">
        <v>33</v>
      </c>
      <c r="D61" s="38" t="s">
        <v>40</v>
      </c>
      <c r="E61" s="38" t="s">
        <v>41</v>
      </c>
      <c r="F61" s="38" t="s">
        <v>42</v>
      </c>
      <c r="G61" s="33" t="s">
        <v>43</v>
      </c>
      <c r="H61" s="38" t="s">
        <v>44</v>
      </c>
      <c r="I61" s="39">
        <v>6</v>
      </c>
      <c r="J61" s="40" t="s">
        <v>21</v>
      </c>
      <c r="K61" s="40" t="s">
        <v>22</v>
      </c>
      <c r="L61" s="38" t="s">
        <v>64</v>
      </c>
      <c r="M61" s="16" t="str">
        <f>IF(A61="","",TEXT(A61,"mmm yyyy"))</f>
        <v>Aug 2026</v>
      </c>
    </row>
    <row r="62" spans="1:13" ht="24">
      <c r="A62" s="36">
        <v>46246</v>
      </c>
      <c r="B62" s="37" t="s">
        <v>14</v>
      </c>
      <c r="C62" s="38" t="s">
        <v>62</v>
      </c>
      <c r="D62" s="38" t="s">
        <v>63</v>
      </c>
      <c r="E62" s="38" t="s">
        <v>54</v>
      </c>
      <c r="F62" s="38" t="s">
        <v>55</v>
      </c>
      <c r="G62" s="38" t="s">
        <v>56</v>
      </c>
      <c r="H62" s="38" t="s">
        <v>57</v>
      </c>
      <c r="I62" s="39">
        <v>2</v>
      </c>
      <c r="J62" s="40" t="s">
        <v>21</v>
      </c>
      <c r="K62" s="40" t="s">
        <v>22</v>
      </c>
      <c r="L62" s="38" t="s">
        <v>64</v>
      </c>
      <c r="M62" s="16" t="str">
        <f>IF(A62="","",TEXT(A62,"mmm yyyy"))</f>
        <v>Aug 2026</v>
      </c>
    </row>
    <row r="63" spans="1:13" ht="24">
      <c r="A63" s="36">
        <v>46247</v>
      </c>
      <c r="B63" s="37" t="s">
        <v>24</v>
      </c>
      <c r="C63" s="38" t="s">
        <v>33</v>
      </c>
      <c r="D63" s="38" t="s">
        <v>33</v>
      </c>
      <c r="E63" s="38" t="s">
        <v>34</v>
      </c>
      <c r="F63" s="38" t="s">
        <v>35</v>
      </c>
      <c r="G63" s="38" t="s">
        <v>36</v>
      </c>
      <c r="H63" s="38" t="s">
        <v>20</v>
      </c>
      <c r="I63" s="39">
        <v>8</v>
      </c>
      <c r="J63" s="40" t="s">
        <v>21</v>
      </c>
      <c r="K63" s="40" t="s">
        <v>22</v>
      </c>
      <c r="L63" s="38" t="s">
        <v>64</v>
      </c>
      <c r="M63" s="16" t="str">
        <f>IF(A63="","",TEXT(A63,"mmm yyyy"))</f>
        <v>Aug 2026</v>
      </c>
    </row>
    <row r="64" spans="1:13" ht="24">
      <c r="A64" s="36">
        <v>46247</v>
      </c>
      <c r="B64" s="37" t="s">
        <v>24</v>
      </c>
      <c r="C64" s="38" t="s">
        <v>45</v>
      </c>
      <c r="D64" s="38" t="s">
        <v>46</v>
      </c>
      <c r="E64" s="38" t="s">
        <v>47</v>
      </c>
      <c r="F64" s="38" t="s">
        <v>48</v>
      </c>
      <c r="G64" s="38" t="s">
        <v>45</v>
      </c>
      <c r="H64" s="38" t="s">
        <v>49</v>
      </c>
      <c r="I64" s="39">
        <v>1.5</v>
      </c>
      <c r="J64" s="40" t="s">
        <v>21</v>
      </c>
      <c r="K64" s="40" t="s">
        <v>50</v>
      </c>
      <c r="L64" s="38" t="s">
        <v>64</v>
      </c>
      <c r="M64" s="16" t="str">
        <f>IF(A64="","",TEXT(A64,"mmm yyyy"))</f>
        <v>Aug 2026</v>
      </c>
    </row>
    <row r="65" spans="1:13" ht="36">
      <c r="A65" s="36">
        <v>46248</v>
      </c>
      <c r="B65" s="37" t="s">
        <v>25</v>
      </c>
      <c r="C65" s="38" t="s">
        <v>33</v>
      </c>
      <c r="D65" s="38" t="s">
        <v>33</v>
      </c>
      <c r="E65" s="38" t="s">
        <v>51</v>
      </c>
      <c r="F65" s="38" t="s">
        <v>38</v>
      </c>
      <c r="G65" s="38" t="s">
        <v>36</v>
      </c>
      <c r="H65" s="38" t="s">
        <v>39</v>
      </c>
      <c r="I65" s="39">
        <v>8</v>
      </c>
      <c r="J65" s="40" t="s">
        <v>21</v>
      </c>
      <c r="K65" s="40" t="s">
        <v>22</v>
      </c>
      <c r="L65" s="38" t="s">
        <v>64</v>
      </c>
      <c r="M65" s="16" t="str">
        <f>IF(A65="","",TEXT(A65,"mmm yyyy"))</f>
        <v>Aug 2026</v>
      </c>
    </row>
    <row r="66" spans="1:13" ht="24">
      <c r="A66" s="36">
        <v>46251</v>
      </c>
      <c r="B66" s="37" t="s">
        <v>26</v>
      </c>
      <c r="C66" s="38" t="s">
        <v>65</v>
      </c>
      <c r="D66" s="38" t="s">
        <v>66</v>
      </c>
      <c r="E66" s="38" t="s">
        <v>67</v>
      </c>
      <c r="F66" s="38" t="s">
        <v>68</v>
      </c>
      <c r="G66" s="38" t="s">
        <v>56</v>
      </c>
      <c r="H66" s="38" t="s">
        <v>20</v>
      </c>
      <c r="I66" s="39">
        <v>8</v>
      </c>
      <c r="J66" s="40" t="s">
        <v>69</v>
      </c>
      <c r="K66" s="40" t="s">
        <v>22</v>
      </c>
      <c r="L66" s="38" t="s">
        <v>64</v>
      </c>
      <c r="M66" s="16" t="str">
        <f>IF(A66="","",TEXT(A66,"mmm yyyy"))</f>
        <v>Aug 2026</v>
      </c>
    </row>
    <row r="67" spans="1:13" ht="24">
      <c r="A67" s="36">
        <v>46252</v>
      </c>
      <c r="B67" s="37" t="s">
        <v>31</v>
      </c>
      <c r="C67" s="38" t="s">
        <v>65</v>
      </c>
      <c r="D67" s="38" t="s">
        <v>66</v>
      </c>
      <c r="E67" s="38" t="s">
        <v>34</v>
      </c>
      <c r="F67" s="38" t="s">
        <v>68</v>
      </c>
      <c r="G67" s="38" t="s">
        <v>56</v>
      </c>
      <c r="H67" s="38" t="s">
        <v>20</v>
      </c>
      <c r="I67" s="39">
        <v>8</v>
      </c>
      <c r="J67" s="40" t="s">
        <v>69</v>
      </c>
      <c r="K67" s="40" t="s">
        <v>22</v>
      </c>
      <c r="L67" s="38" t="s">
        <v>64</v>
      </c>
      <c r="M67" s="16" t="str">
        <f>IF(A67="","",TEXT(A67,"mmm yyyy"))</f>
        <v>Aug 2026</v>
      </c>
    </row>
    <row r="68" spans="1:13" ht="36">
      <c r="A68" s="36">
        <v>46253</v>
      </c>
      <c r="B68" s="37" t="s">
        <v>14</v>
      </c>
      <c r="C68" s="38" t="s">
        <v>65</v>
      </c>
      <c r="D68" s="38" t="s">
        <v>66</v>
      </c>
      <c r="E68" s="38" t="s">
        <v>51</v>
      </c>
      <c r="F68" s="38" t="s">
        <v>68</v>
      </c>
      <c r="G68" s="38" t="s">
        <v>56</v>
      </c>
      <c r="H68" s="38" t="s">
        <v>20</v>
      </c>
      <c r="I68" s="39">
        <v>7</v>
      </c>
      <c r="J68" s="40" t="s">
        <v>69</v>
      </c>
      <c r="K68" s="40" t="s">
        <v>22</v>
      </c>
      <c r="L68" s="38" t="s">
        <v>64</v>
      </c>
      <c r="M68" s="16" t="str">
        <f>IF(A68="","",TEXT(A68,"mmm yyyy"))</f>
        <v>Aug 2026</v>
      </c>
    </row>
    <row r="69" spans="1:13" ht="30.75" customHeight="1">
      <c r="A69" s="36">
        <v>46253</v>
      </c>
      <c r="B69" s="37" t="s">
        <v>14</v>
      </c>
      <c r="C69" s="38" t="s">
        <v>70</v>
      </c>
      <c r="D69" s="38" t="s">
        <v>40</v>
      </c>
      <c r="E69" s="38" t="s">
        <v>40</v>
      </c>
      <c r="F69" s="38" t="s">
        <v>35</v>
      </c>
      <c r="G69" s="38" t="s">
        <v>36</v>
      </c>
      <c r="H69" s="38" t="s">
        <v>20</v>
      </c>
      <c r="I69" s="39">
        <v>1</v>
      </c>
      <c r="J69" s="40" t="s">
        <v>21</v>
      </c>
      <c r="K69" s="40" t="s">
        <v>22</v>
      </c>
      <c r="L69" s="38" t="s">
        <v>64</v>
      </c>
      <c r="M69" s="16" t="str">
        <f>IF(A70="","",TEXT(A70,"mmm yyyy"))</f>
        <v>Aug 2026</v>
      </c>
    </row>
    <row r="70" spans="1:13" ht="24">
      <c r="A70" s="36">
        <v>46254</v>
      </c>
      <c r="B70" s="37" t="s">
        <v>24</v>
      </c>
      <c r="C70" s="38" t="s">
        <v>65</v>
      </c>
      <c r="D70" s="38" t="s">
        <v>66</v>
      </c>
      <c r="E70" s="38" t="s">
        <v>41</v>
      </c>
      <c r="F70" s="38" t="s">
        <v>68</v>
      </c>
      <c r="G70" s="38" t="s">
        <v>56</v>
      </c>
      <c r="H70" s="38" t="s">
        <v>20</v>
      </c>
      <c r="I70" s="39">
        <v>8</v>
      </c>
      <c r="J70" s="40" t="s">
        <v>21</v>
      </c>
      <c r="K70" s="40" t="s">
        <v>22</v>
      </c>
      <c r="L70" s="38" t="s">
        <v>64</v>
      </c>
      <c r="M70" s="16" t="str">
        <f>IF(A71="","",TEXT(A71,"mmm yyyy"))</f>
        <v>Aug 2026</v>
      </c>
    </row>
    <row r="71" spans="1:13" ht="24">
      <c r="A71" s="36">
        <v>46255</v>
      </c>
      <c r="B71" s="37" t="s">
        <v>25</v>
      </c>
      <c r="C71" s="38" t="s">
        <v>33</v>
      </c>
      <c r="D71" s="38" t="s">
        <v>71</v>
      </c>
      <c r="E71" s="38" t="s">
        <v>71</v>
      </c>
      <c r="F71" s="38" t="s">
        <v>18</v>
      </c>
      <c r="G71" s="38" t="s">
        <v>19</v>
      </c>
      <c r="H71" s="38" t="s">
        <v>20</v>
      </c>
      <c r="I71" s="39">
        <v>7</v>
      </c>
      <c r="J71" s="40" t="s">
        <v>69</v>
      </c>
      <c r="K71" s="40" t="s">
        <v>30</v>
      </c>
      <c r="L71" s="38" t="s">
        <v>64</v>
      </c>
      <c r="M71" s="16" t="e">
        <f>IF(#REF!="","",TEXT(#REF!,"mmm yyyy"))</f>
        <v>#REF!</v>
      </c>
    </row>
    <row r="72" spans="1:13" ht="24">
      <c r="A72" s="36">
        <v>46255</v>
      </c>
      <c r="B72" s="37" t="s">
        <v>25</v>
      </c>
      <c r="C72" s="38" t="s">
        <v>58</v>
      </c>
      <c r="D72" s="38" t="s">
        <v>72</v>
      </c>
      <c r="E72" s="38" t="s">
        <v>47</v>
      </c>
      <c r="F72" s="38" t="s">
        <v>48</v>
      </c>
      <c r="G72" s="38"/>
      <c r="H72" s="38" t="s">
        <v>58</v>
      </c>
      <c r="I72" s="39">
        <v>1</v>
      </c>
      <c r="J72" s="40" t="s">
        <v>21</v>
      </c>
      <c r="K72" s="40" t="s">
        <v>50</v>
      </c>
      <c r="L72" s="38" t="s">
        <v>64</v>
      </c>
      <c r="M72" s="16" t="str">
        <f>IF(A72="","",TEXT(A72,"mmm yyyy"))</f>
        <v>Aug 2026</v>
      </c>
    </row>
    <row r="73" spans="1:13">
      <c r="A73" s="17"/>
      <c r="B73" s="18" t="str">
        <f>IF(A73="","",TEXT(A73,"dddd"))</f>
        <v/>
      </c>
      <c r="C73" s="19"/>
      <c r="D73" s="19"/>
      <c r="E73" s="19"/>
      <c r="F73" s="19"/>
      <c r="G73" s="19"/>
      <c r="H73" s="19"/>
      <c r="I73" s="20"/>
      <c r="J73" s="21"/>
      <c r="K73" s="21"/>
      <c r="L73" s="19"/>
      <c r="M73" s="16" t="str">
        <f>IF(A73="","",TEXT(A73,"mmm yyyy"))</f>
        <v/>
      </c>
    </row>
    <row r="74" spans="1:13">
      <c r="A74" s="22"/>
      <c r="B74" s="23" t="str">
        <f>IF(A74="","",TEXT(A74,"dddd"))</f>
        <v/>
      </c>
      <c r="C74" s="24"/>
      <c r="D74" s="24"/>
      <c r="E74" s="24"/>
      <c r="F74" s="24"/>
      <c r="G74" s="24"/>
      <c r="H74" s="24"/>
      <c r="I74" s="25"/>
      <c r="J74" s="26"/>
      <c r="K74" s="26"/>
      <c r="L74" s="24"/>
      <c r="M74" s="16" t="str">
        <f>IF(A74="","",TEXT(A74,"mmm yyyy"))</f>
        <v/>
      </c>
    </row>
    <row r="75" spans="1:13">
      <c r="A75" s="17"/>
      <c r="B75" s="18" t="str">
        <f>IF(A75="","",TEXT(A75,"dddd"))</f>
        <v/>
      </c>
      <c r="C75" s="19"/>
      <c r="D75" s="19"/>
      <c r="E75" s="19"/>
      <c r="F75" s="19"/>
      <c r="G75" s="19"/>
      <c r="H75" s="19"/>
      <c r="I75" s="20"/>
      <c r="J75" s="21"/>
      <c r="K75" s="21"/>
      <c r="L75" s="19"/>
      <c r="M75" s="16" t="str">
        <f>IF(A75="","",TEXT(A75,"mmm yyyy"))</f>
        <v/>
      </c>
    </row>
    <row r="76" spans="1:13">
      <c r="A76" s="22"/>
      <c r="B76" s="23" t="str">
        <f>IF(A76="","",TEXT(A76,"dddd"))</f>
        <v/>
      </c>
      <c r="C76" s="24"/>
      <c r="D76" s="24"/>
      <c r="E76" s="24"/>
      <c r="F76" s="24"/>
      <c r="G76" s="24"/>
      <c r="H76" s="24"/>
      <c r="I76" s="25"/>
      <c r="J76" s="26"/>
      <c r="K76" s="26"/>
      <c r="L76" s="24"/>
      <c r="M76" s="16" t="str">
        <f>IF(A76="","",TEXT(A76,"mmm yyyy"))</f>
        <v/>
      </c>
    </row>
    <row r="77" spans="1:13">
      <c r="A77" s="17"/>
      <c r="B77" s="18" t="str">
        <f>IF(A77="","",TEXT(A77,"dddd"))</f>
        <v/>
      </c>
      <c r="C77" s="19"/>
      <c r="D77" s="19"/>
      <c r="E77" s="19"/>
      <c r="F77" s="19"/>
      <c r="G77" s="19"/>
      <c r="H77" s="19"/>
      <c r="I77" s="20"/>
      <c r="J77" s="21"/>
      <c r="K77" s="21"/>
      <c r="L77" s="19"/>
      <c r="M77" s="16" t="str">
        <f>IF(A77="","",TEXT(A77,"mmm yyyy"))</f>
        <v/>
      </c>
    </row>
    <row r="78" spans="1:13">
      <c r="A78" s="22"/>
      <c r="B78" s="23" t="str">
        <f>IF(A78="","",TEXT(A78,"dddd"))</f>
        <v/>
      </c>
      <c r="C78" s="24"/>
      <c r="D78" s="24"/>
      <c r="E78" s="24"/>
      <c r="F78" s="24"/>
      <c r="G78" s="24"/>
      <c r="H78" s="24"/>
      <c r="I78" s="25"/>
      <c r="J78" s="26"/>
      <c r="K78" s="26"/>
      <c r="L78" s="24"/>
      <c r="M78" s="16" t="str">
        <f>IF(A78="","",TEXT(A78,"mmm yyyy"))</f>
        <v/>
      </c>
    </row>
    <row r="79" spans="1:13">
      <c r="A79" s="17"/>
      <c r="B79" s="18" t="str">
        <f>IF(A79="","",TEXT(A79,"dddd"))</f>
        <v/>
      </c>
      <c r="C79" s="19"/>
      <c r="D79" s="19"/>
      <c r="E79" s="19"/>
      <c r="F79" s="19"/>
      <c r="G79" s="19"/>
      <c r="H79" s="19"/>
      <c r="I79" s="20"/>
      <c r="J79" s="21"/>
      <c r="K79" s="21"/>
      <c r="L79" s="19"/>
      <c r="M79" s="16" t="str">
        <f>IF(A79="","",TEXT(A79,"mmm yyyy"))</f>
        <v/>
      </c>
    </row>
    <row r="80" spans="1:13">
      <c r="A80" s="22"/>
      <c r="B80" s="23" t="str">
        <f>IF(A80="","",TEXT(A80,"dddd"))</f>
        <v/>
      </c>
      <c r="C80" s="24"/>
      <c r="D80" s="24"/>
      <c r="E80" s="24"/>
      <c r="F80" s="24"/>
      <c r="G80" s="24"/>
      <c r="H80" s="24"/>
      <c r="I80" s="25"/>
      <c r="J80" s="26"/>
      <c r="K80" s="26"/>
      <c r="L80" s="24"/>
      <c r="M80" s="16" t="str">
        <f>IF(A80="","",TEXT(A80,"mmm yyyy"))</f>
        <v/>
      </c>
    </row>
    <row r="81" spans="1:13">
      <c r="A81" s="17"/>
      <c r="B81" s="18" t="str">
        <f>IF(A81="","",TEXT(A81,"dddd"))</f>
        <v/>
      </c>
      <c r="C81" s="19"/>
      <c r="D81" s="19"/>
      <c r="E81" s="19"/>
      <c r="F81" s="19"/>
      <c r="G81" s="19"/>
      <c r="H81" s="19"/>
      <c r="I81" s="20"/>
      <c r="J81" s="21"/>
      <c r="K81" s="21"/>
      <c r="L81" s="19"/>
      <c r="M81" s="16" t="str">
        <f>IF(A81="","",TEXT(A81,"mmm yyyy"))</f>
        <v/>
      </c>
    </row>
    <row r="82" spans="1:13">
      <c r="A82" s="22"/>
      <c r="B82" s="23" t="str">
        <f>IF(A82="","",TEXT(A82,"dddd"))</f>
        <v/>
      </c>
      <c r="C82" s="24"/>
      <c r="D82" s="24"/>
      <c r="E82" s="24"/>
      <c r="F82" s="24"/>
      <c r="G82" s="24"/>
      <c r="H82" s="24"/>
      <c r="I82" s="25"/>
      <c r="J82" s="26"/>
      <c r="K82" s="26"/>
      <c r="L82" s="24"/>
      <c r="M82" s="16" t="str">
        <f>IF(A82="","",TEXT(A82,"mmm yyyy"))</f>
        <v/>
      </c>
    </row>
    <row r="83" spans="1:13">
      <c r="A83" s="17"/>
      <c r="B83" s="18" t="str">
        <f>IF(A83="","",TEXT(A83,"dddd"))</f>
        <v/>
      </c>
      <c r="C83" s="19"/>
      <c r="D83" s="19"/>
      <c r="E83" s="19"/>
      <c r="F83" s="19"/>
      <c r="G83" s="19"/>
      <c r="H83" s="19"/>
      <c r="I83" s="20"/>
      <c r="J83" s="21"/>
      <c r="K83" s="21"/>
      <c r="L83" s="19"/>
      <c r="M83" s="16" t="str">
        <f>IF(A83="","",TEXT(A83,"mmm yyyy"))</f>
        <v/>
      </c>
    </row>
    <row r="84" spans="1:13">
      <c r="A84" s="22"/>
      <c r="B84" s="23" t="str">
        <f>IF(A84="","",TEXT(A84,"dddd"))</f>
        <v/>
      </c>
      <c r="C84" s="24"/>
      <c r="D84" s="24"/>
      <c r="E84" s="24"/>
      <c r="F84" s="24"/>
      <c r="G84" s="24"/>
      <c r="H84" s="24"/>
      <c r="I84" s="25"/>
      <c r="J84" s="26"/>
      <c r="K84" s="26"/>
      <c r="L84" s="24"/>
      <c r="M84" s="16" t="str">
        <f>IF(A84="","",TEXT(A84,"mmm yyyy"))</f>
        <v/>
      </c>
    </row>
    <row r="85" spans="1:13">
      <c r="A85" s="17"/>
      <c r="B85" s="18" t="str">
        <f>IF(A85="","",TEXT(A85,"dddd"))</f>
        <v/>
      </c>
      <c r="C85" s="19"/>
      <c r="D85" s="19"/>
      <c r="E85" s="19"/>
      <c r="F85" s="19"/>
      <c r="G85" s="19"/>
      <c r="H85" s="19"/>
      <c r="I85" s="20"/>
      <c r="J85" s="21"/>
      <c r="K85" s="21"/>
      <c r="L85" s="19"/>
      <c r="M85" s="16" t="str">
        <f>IF(A85="","",TEXT(A85,"mmm yyyy"))</f>
        <v/>
      </c>
    </row>
    <row r="86" spans="1:13">
      <c r="A86" s="22"/>
      <c r="B86" s="23" t="str">
        <f>IF(A86="","",TEXT(A86,"dddd"))</f>
        <v/>
      </c>
      <c r="C86" s="24"/>
      <c r="D86" s="24"/>
      <c r="E86" s="24"/>
      <c r="F86" s="24"/>
      <c r="G86" s="24"/>
      <c r="H86" s="24"/>
      <c r="I86" s="25"/>
      <c r="J86" s="26"/>
      <c r="K86" s="26"/>
      <c r="L86" s="24"/>
      <c r="M86" s="16" t="str">
        <f>IF(A86="","",TEXT(A86,"mmm yyyy"))</f>
        <v/>
      </c>
    </row>
    <row r="87" spans="1:13">
      <c r="A87" s="17"/>
      <c r="B87" s="18" t="str">
        <f>IF(A87="","",TEXT(A87,"dddd"))</f>
        <v/>
      </c>
      <c r="C87" s="19"/>
      <c r="D87" s="19"/>
      <c r="E87" s="19"/>
      <c r="F87" s="19"/>
      <c r="G87" s="19"/>
      <c r="H87" s="19"/>
      <c r="I87" s="20"/>
      <c r="J87" s="21"/>
      <c r="K87" s="21"/>
      <c r="L87" s="19"/>
      <c r="M87" s="16" t="str">
        <f>IF(A87="","",TEXT(A87,"mmm yyyy"))</f>
        <v/>
      </c>
    </row>
    <row r="88" spans="1:13">
      <c r="A88" s="22"/>
      <c r="B88" s="23" t="str">
        <f>IF(A88="","",TEXT(A88,"dddd"))</f>
        <v/>
      </c>
      <c r="C88" s="24"/>
      <c r="D88" s="24"/>
      <c r="E88" s="24"/>
      <c r="F88" s="24"/>
      <c r="G88" s="24"/>
      <c r="H88" s="24"/>
      <c r="I88" s="25"/>
      <c r="J88" s="26"/>
      <c r="K88" s="26"/>
      <c r="L88" s="24"/>
      <c r="M88" s="16" t="str">
        <f>IF(A88="","",TEXT(A88,"mmm yyyy"))</f>
        <v/>
      </c>
    </row>
    <row r="89" spans="1:13">
      <c r="A89" s="17"/>
      <c r="B89" s="18" t="str">
        <f>IF(A89="","",TEXT(A89,"dddd"))</f>
        <v/>
      </c>
      <c r="C89" s="19"/>
      <c r="D89" s="19"/>
      <c r="E89" s="19"/>
      <c r="F89" s="19"/>
      <c r="G89" s="19"/>
      <c r="H89" s="19"/>
      <c r="I89" s="20"/>
      <c r="J89" s="21"/>
      <c r="K89" s="21"/>
      <c r="L89" s="19"/>
      <c r="M89" s="16" t="str">
        <f>IF(A89="","",TEXT(A89,"mmm yyyy"))</f>
        <v/>
      </c>
    </row>
    <row r="90" spans="1:13">
      <c r="A90" s="22"/>
      <c r="B90" s="23" t="str">
        <f>IF(A90="","",TEXT(A90,"dddd"))</f>
        <v/>
      </c>
      <c r="C90" s="24"/>
      <c r="D90" s="24"/>
      <c r="E90" s="24"/>
      <c r="F90" s="24"/>
      <c r="G90" s="24"/>
      <c r="H90" s="24"/>
      <c r="I90" s="25"/>
      <c r="J90" s="26"/>
      <c r="K90" s="26"/>
      <c r="L90" s="24"/>
      <c r="M90" s="16" t="str">
        <f>IF(A90="","",TEXT(A90,"mmm yyyy"))</f>
        <v/>
      </c>
    </row>
    <row r="91" spans="1:13">
      <c r="A91" s="17"/>
      <c r="B91" s="18" t="str">
        <f>IF(A91="","",TEXT(A91,"dddd"))</f>
        <v/>
      </c>
      <c r="C91" s="19"/>
      <c r="D91" s="19"/>
      <c r="E91" s="19"/>
      <c r="F91" s="19"/>
      <c r="G91" s="19"/>
      <c r="H91" s="19"/>
      <c r="I91" s="20"/>
      <c r="J91" s="21"/>
      <c r="K91" s="21"/>
      <c r="L91" s="19"/>
      <c r="M91" s="16" t="str">
        <f>IF(A91="","",TEXT(A91,"mmm yyyy"))</f>
        <v/>
      </c>
    </row>
    <row r="92" spans="1:13">
      <c r="A92" s="22"/>
      <c r="B92" s="23" t="str">
        <f>IF(A92="","",TEXT(A92,"dddd"))</f>
        <v/>
      </c>
      <c r="C92" s="24"/>
      <c r="D92" s="24"/>
      <c r="E92" s="24"/>
      <c r="F92" s="24"/>
      <c r="G92" s="24"/>
      <c r="H92" s="24"/>
      <c r="I92" s="25"/>
      <c r="J92" s="26"/>
      <c r="K92" s="26"/>
      <c r="L92" s="24"/>
      <c r="M92" s="16" t="str">
        <f>IF(A92="","",TEXT(A92,"mmm yyyy"))</f>
        <v/>
      </c>
    </row>
    <row r="93" spans="1:13">
      <c r="A93" s="17"/>
      <c r="B93" s="18" t="str">
        <f>IF(A93="","",TEXT(A93,"dddd"))</f>
        <v/>
      </c>
      <c r="C93" s="19"/>
      <c r="D93" s="19"/>
      <c r="E93" s="19"/>
      <c r="F93" s="19"/>
      <c r="G93" s="19"/>
      <c r="H93" s="19"/>
      <c r="I93" s="20"/>
      <c r="J93" s="21"/>
      <c r="K93" s="21"/>
      <c r="L93" s="19"/>
      <c r="M93" s="16" t="str">
        <f>IF(A93="","",TEXT(A93,"mmm yyyy"))</f>
        <v/>
      </c>
    </row>
    <row r="94" spans="1:13">
      <c r="A94" s="22"/>
      <c r="B94" s="23" t="str">
        <f>IF(A94="","",TEXT(A94,"dddd"))</f>
        <v/>
      </c>
      <c r="C94" s="24"/>
      <c r="D94" s="24"/>
      <c r="E94" s="24"/>
      <c r="F94" s="24"/>
      <c r="G94" s="24"/>
      <c r="H94" s="24"/>
      <c r="I94" s="25"/>
      <c r="J94" s="26"/>
      <c r="K94" s="26"/>
      <c r="L94" s="24"/>
      <c r="M94" s="16" t="str">
        <f>IF(A94="","",TEXT(A94,"mmm yyyy"))</f>
        <v/>
      </c>
    </row>
    <row r="95" spans="1:13">
      <c r="A95" s="17"/>
      <c r="B95" s="18" t="str">
        <f>IF(A95="","",TEXT(A95,"dddd"))</f>
        <v/>
      </c>
      <c r="C95" s="19"/>
      <c r="D95" s="19"/>
      <c r="E95" s="19"/>
      <c r="F95" s="19"/>
      <c r="G95" s="19"/>
      <c r="H95" s="19"/>
      <c r="I95" s="20"/>
      <c r="J95" s="21"/>
      <c r="K95" s="21"/>
      <c r="L95" s="19"/>
      <c r="M95" s="16" t="str">
        <f>IF(A95="","",TEXT(A95,"mmm yyyy"))</f>
        <v/>
      </c>
    </row>
    <row r="96" spans="1:13">
      <c r="A96" s="22"/>
      <c r="B96" s="23" t="str">
        <f>IF(A96="","",TEXT(A96,"dddd"))</f>
        <v/>
      </c>
      <c r="C96" s="24"/>
      <c r="D96" s="24"/>
      <c r="E96" s="24"/>
      <c r="F96" s="24"/>
      <c r="G96" s="24"/>
      <c r="H96" s="24"/>
      <c r="I96" s="25"/>
      <c r="J96" s="26"/>
      <c r="K96" s="26"/>
      <c r="L96" s="24"/>
      <c r="M96" s="16" t="str">
        <f>IF(A96="","",TEXT(A96,"mmm yyyy"))</f>
        <v/>
      </c>
    </row>
    <row r="97" spans="1:13">
      <c r="A97" s="17"/>
      <c r="B97" s="18" t="str">
        <f>IF(A97="","",TEXT(A97,"dddd"))</f>
        <v/>
      </c>
      <c r="C97" s="19"/>
      <c r="D97" s="19"/>
      <c r="E97" s="19"/>
      <c r="F97" s="19"/>
      <c r="G97" s="19"/>
      <c r="H97" s="19"/>
      <c r="I97" s="20"/>
      <c r="J97" s="21"/>
      <c r="K97" s="21"/>
      <c r="L97" s="19"/>
      <c r="M97" s="16" t="str">
        <f>IF(A97="","",TEXT(A97,"mmm yyyy"))</f>
        <v/>
      </c>
    </row>
    <row r="98" spans="1:13">
      <c r="A98" s="22"/>
      <c r="B98" s="23" t="str">
        <f>IF(A98="","",TEXT(A98,"dddd"))</f>
        <v/>
      </c>
      <c r="C98" s="24"/>
      <c r="D98" s="24"/>
      <c r="E98" s="24"/>
      <c r="F98" s="24"/>
      <c r="G98" s="24"/>
      <c r="H98" s="24"/>
      <c r="I98" s="25"/>
      <c r="J98" s="26"/>
      <c r="K98" s="26"/>
      <c r="L98" s="24"/>
      <c r="M98" s="16" t="str">
        <f>IF(A98="","",TEXT(A98,"mmm yyyy"))</f>
        <v/>
      </c>
    </row>
    <row r="99" spans="1:13">
      <c r="A99" s="17"/>
      <c r="B99" s="18" t="str">
        <f>IF(A99="","",TEXT(A99,"dddd"))</f>
        <v/>
      </c>
      <c r="C99" s="19"/>
      <c r="D99" s="19"/>
      <c r="E99" s="19"/>
      <c r="F99" s="19"/>
      <c r="G99" s="19"/>
      <c r="H99" s="19"/>
      <c r="I99" s="20"/>
      <c r="J99" s="21"/>
      <c r="K99" s="21"/>
      <c r="L99" s="19"/>
      <c r="M99" s="16" t="str">
        <f>IF(A99="","",TEXT(A99,"mmm yyyy"))</f>
        <v/>
      </c>
    </row>
    <row r="100" spans="1:13">
      <c r="A100" s="22"/>
      <c r="B100" s="23" t="str">
        <f>IF(A100="","",TEXT(A100,"dddd"))</f>
        <v/>
      </c>
      <c r="C100" s="24"/>
      <c r="D100" s="24"/>
      <c r="E100" s="24"/>
      <c r="F100" s="24"/>
      <c r="G100" s="24"/>
      <c r="H100" s="24"/>
      <c r="I100" s="25"/>
      <c r="J100" s="26"/>
      <c r="K100" s="26"/>
      <c r="L100" s="24"/>
      <c r="M100" s="16" t="str">
        <f>IF(A100="","",TEXT(A100,"mmm yyyy"))</f>
        <v/>
      </c>
    </row>
    <row r="101" spans="1:13">
      <c r="A101" s="17"/>
      <c r="B101" s="18" t="str">
        <f>IF(A101="","",TEXT(A101,"dddd"))</f>
        <v/>
      </c>
      <c r="C101" s="19"/>
      <c r="D101" s="19"/>
      <c r="E101" s="19"/>
      <c r="F101" s="19"/>
      <c r="G101" s="19"/>
      <c r="H101" s="19"/>
      <c r="I101" s="20"/>
      <c r="J101" s="21"/>
      <c r="K101" s="21"/>
      <c r="L101" s="19"/>
      <c r="M101" s="16" t="str">
        <f>IF(A101="","",TEXT(A101,"mmm yyyy"))</f>
        <v/>
      </c>
    </row>
    <row r="102" spans="1:13">
      <c r="A102" s="22"/>
      <c r="B102" s="23" t="str">
        <f>IF(A102="","",TEXT(A102,"dddd"))</f>
        <v/>
      </c>
      <c r="C102" s="24"/>
      <c r="D102" s="24"/>
      <c r="E102" s="24"/>
      <c r="F102" s="24"/>
      <c r="G102" s="24"/>
      <c r="H102" s="24"/>
      <c r="I102" s="25"/>
      <c r="J102" s="26"/>
      <c r="K102" s="26"/>
      <c r="L102" s="24"/>
      <c r="M102" s="16" t="str">
        <f>IF(A102="","",TEXT(A102,"mmm yyyy"))</f>
        <v/>
      </c>
    </row>
    <row r="103" spans="1:13">
      <c r="A103" s="17"/>
      <c r="B103" s="18" t="str">
        <f>IF(A103="","",TEXT(A103,"dddd"))</f>
        <v/>
      </c>
      <c r="C103" s="19"/>
      <c r="D103" s="19"/>
      <c r="E103" s="19"/>
      <c r="F103" s="19"/>
      <c r="G103" s="19"/>
      <c r="H103" s="19"/>
      <c r="I103" s="20"/>
      <c r="J103" s="21"/>
      <c r="K103" s="21"/>
      <c r="L103" s="19"/>
      <c r="M103" s="16" t="str">
        <f>IF(A103="","",TEXT(A103,"mmm yyyy"))</f>
        <v/>
      </c>
    </row>
    <row r="104" spans="1:13">
      <c r="A104" s="22"/>
      <c r="B104" s="23" t="str">
        <f>IF(A104="","",TEXT(A104,"dddd"))</f>
        <v/>
      </c>
      <c r="C104" s="24"/>
      <c r="D104" s="24"/>
      <c r="E104" s="24"/>
      <c r="F104" s="24"/>
      <c r="G104" s="24"/>
      <c r="H104" s="24"/>
      <c r="I104" s="25"/>
      <c r="J104" s="26"/>
      <c r="K104" s="26"/>
      <c r="L104" s="24"/>
      <c r="M104" s="16" t="str">
        <f>IF(A104="","",TEXT(A104,"mmm yyyy"))</f>
        <v/>
      </c>
    </row>
    <row r="105" spans="1:13">
      <c r="A105" s="17"/>
      <c r="B105" s="18" t="str">
        <f>IF(A105="","",TEXT(A105,"dddd"))</f>
        <v/>
      </c>
      <c r="C105" s="19"/>
      <c r="D105" s="19"/>
      <c r="E105" s="19"/>
      <c r="F105" s="19"/>
      <c r="G105" s="19"/>
      <c r="H105" s="19"/>
      <c r="I105" s="20"/>
      <c r="J105" s="21"/>
      <c r="K105" s="21"/>
      <c r="L105" s="19"/>
      <c r="M105" s="16" t="str">
        <f>IF(A105="","",TEXT(A105,"mmm yyyy"))</f>
        <v/>
      </c>
    </row>
    <row r="106" spans="1:13">
      <c r="A106" s="22"/>
      <c r="B106" s="23" t="str">
        <f>IF(A106="","",TEXT(A106,"dddd"))</f>
        <v/>
      </c>
      <c r="C106" s="24"/>
      <c r="D106" s="24"/>
      <c r="E106" s="24"/>
      <c r="F106" s="24"/>
      <c r="G106" s="24"/>
      <c r="H106" s="24"/>
      <c r="I106" s="25"/>
      <c r="J106" s="26"/>
      <c r="K106" s="26"/>
      <c r="L106" s="24"/>
      <c r="M106" s="16" t="str">
        <f>IF(A106="","",TEXT(A106,"mmm yyyy"))</f>
        <v/>
      </c>
    </row>
    <row r="107" spans="1:13">
      <c r="A107" s="17"/>
      <c r="B107" s="18" t="str">
        <f>IF(A107="","",TEXT(A107,"dddd"))</f>
        <v/>
      </c>
      <c r="C107" s="19"/>
      <c r="D107" s="19"/>
      <c r="E107" s="19"/>
      <c r="F107" s="19"/>
      <c r="G107" s="19"/>
      <c r="H107" s="19"/>
      <c r="I107" s="20"/>
      <c r="J107" s="21"/>
      <c r="K107" s="21"/>
      <c r="L107" s="19"/>
      <c r="M107" s="16" t="str">
        <f>IF(A107="","",TEXT(A107,"mmm yyyy"))</f>
        <v/>
      </c>
    </row>
    <row r="108" spans="1:13">
      <c r="A108" s="22"/>
      <c r="B108" s="23" t="str">
        <f>IF(A108="","",TEXT(A108,"dddd"))</f>
        <v/>
      </c>
      <c r="C108" s="24"/>
      <c r="D108" s="24"/>
      <c r="E108" s="24"/>
      <c r="F108" s="24"/>
      <c r="G108" s="24"/>
      <c r="H108" s="24"/>
      <c r="I108" s="25"/>
      <c r="J108" s="26"/>
      <c r="K108" s="26"/>
      <c r="L108" s="24"/>
      <c r="M108" s="16" t="str">
        <f>IF(A108="","",TEXT(A108,"mmm yyyy"))</f>
        <v/>
      </c>
    </row>
    <row r="109" spans="1:13">
      <c r="A109" s="17"/>
      <c r="B109" s="18" t="str">
        <f>IF(A109="","",TEXT(A109,"dddd"))</f>
        <v/>
      </c>
      <c r="C109" s="19"/>
      <c r="D109" s="19"/>
      <c r="E109" s="19"/>
      <c r="F109" s="19"/>
      <c r="G109" s="19"/>
      <c r="H109" s="19"/>
      <c r="I109" s="20"/>
      <c r="J109" s="21"/>
      <c r="K109" s="21"/>
      <c r="L109" s="19"/>
      <c r="M109" s="16" t="str">
        <f>IF(A109="","",TEXT(A109,"mmm yyyy"))</f>
        <v/>
      </c>
    </row>
    <row r="110" spans="1:13">
      <c r="A110" s="22"/>
      <c r="B110" s="23" t="str">
        <f>IF(A110="","",TEXT(A110,"dddd"))</f>
        <v/>
      </c>
      <c r="C110" s="24"/>
      <c r="D110" s="24"/>
      <c r="E110" s="24"/>
      <c r="F110" s="24"/>
      <c r="G110" s="24"/>
      <c r="H110" s="24"/>
      <c r="I110" s="25"/>
      <c r="J110" s="26"/>
      <c r="K110" s="26"/>
      <c r="L110" s="24"/>
      <c r="M110" s="16" t="str">
        <f>IF(A110="","",TEXT(A110,"mmm yyyy"))</f>
        <v/>
      </c>
    </row>
    <row r="111" spans="1:13">
      <c r="A111" s="17"/>
      <c r="B111" s="18" t="str">
        <f>IF(A111="","",TEXT(A111,"dddd"))</f>
        <v/>
      </c>
      <c r="C111" s="19"/>
      <c r="D111" s="19"/>
      <c r="E111" s="19"/>
      <c r="F111" s="19"/>
      <c r="G111" s="19"/>
      <c r="H111" s="19"/>
      <c r="I111" s="20"/>
      <c r="J111" s="21"/>
      <c r="K111" s="21"/>
      <c r="L111" s="19"/>
      <c r="M111" s="16" t="str">
        <f>IF(A111="","",TEXT(A111,"mmm yyyy"))</f>
        <v/>
      </c>
    </row>
    <row r="112" spans="1:13">
      <c r="A112" s="22"/>
      <c r="B112" s="23" t="str">
        <f>IF(A112="","",TEXT(A112,"dddd"))</f>
        <v/>
      </c>
      <c r="C112" s="24"/>
      <c r="D112" s="24"/>
      <c r="E112" s="24"/>
      <c r="F112" s="24"/>
      <c r="G112" s="24"/>
      <c r="H112" s="24"/>
      <c r="I112" s="25"/>
      <c r="J112" s="26"/>
      <c r="K112" s="26"/>
      <c r="L112" s="24"/>
      <c r="M112" s="16" t="str">
        <f>IF(A112="","",TEXT(A112,"mmm yyyy"))</f>
        <v/>
      </c>
    </row>
    <row r="113" spans="1:13">
      <c r="A113" s="17"/>
      <c r="B113" s="18" t="str">
        <f>IF(A113="","",TEXT(A113,"dddd"))</f>
        <v/>
      </c>
      <c r="C113" s="19"/>
      <c r="D113" s="19"/>
      <c r="E113" s="19"/>
      <c r="F113" s="19"/>
      <c r="G113" s="19"/>
      <c r="H113" s="19"/>
      <c r="I113" s="20"/>
      <c r="J113" s="21"/>
      <c r="K113" s="21"/>
      <c r="L113" s="19"/>
      <c r="M113" s="16" t="str">
        <f>IF(A113="","",TEXT(A113,"mmm yyyy"))</f>
        <v/>
      </c>
    </row>
    <row r="114" spans="1:13">
      <c r="A114" s="22"/>
      <c r="B114" s="23" t="str">
        <f>IF(A114="","",TEXT(A114,"dddd"))</f>
        <v/>
      </c>
      <c r="C114" s="24"/>
      <c r="D114" s="24"/>
      <c r="E114" s="24"/>
      <c r="F114" s="24"/>
      <c r="G114" s="24"/>
      <c r="H114" s="24"/>
      <c r="I114" s="25"/>
      <c r="J114" s="26"/>
      <c r="K114" s="26"/>
      <c r="L114" s="24"/>
      <c r="M114" s="16" t="str">
        <f>IF(A114="","",TEXT(A114,"mmm yyyy"))</f>
        <v/>
      </c>
    </row>
    <row r="115" spans="1:13">
      <c r="A115" s="17"/>
      <c r="B115" s="18" t="str">
        <f>IF(A115="","",TEXT(A115,"dddd"))</f>
        <v/>
      </c>
      <c r="C115" s="19"/>
      <c r="D115" s="19"/>
      <c r="E115" s="19"/>
      <c r="F115" s="19"/>
      <c r="G115" s="19"/>
      <c r="H115" s="19"/>
      <c r="I115" s="20"/>
      <c r="J115" s="21"/>
      <c r="K115" s="21"/>
      <c r="L115" s="19"/>
      <c r="M115" s="16" t="str">
        <f>IF(A115="","",TEXT(A115,"mmm yyyy"))</f>
        <v/>
      </c>
    </row>
    <row r="116" spans="1:13">
      <c r="A116" s="22"/>
      <c r="B116" s="23" t="str">
        <f>IF(A116="","",TEXT(A116,"dddd"))</f>
        <v/>
      </c>
      <c r="C116" s="24"/>
      <c r="D116" s="24"/>
      <c r="E116" s="24"/>
      <c r="F116" s="24"/>
      <c r="G116" s="24"/>
      <c r="H116" s="24"/>
      <c r="I116" s="25"/>
      <c r="J116" s="26"/>
      <c r="K116" s="26"/>
      <c r="L116" s="24"/>
      <c r="M116" s="16" t="str">
        <f>IF(A116="","",TEXT(A116,"mmm yyyy"))</f>
        <v/>
      </c>
    </row>
    <row r="117" spans="1:13">
      <c r="A117" s="17"/>
      <c r="B117" s="18" t="str">
        <f>IF(A117="","",TEXT(A117,"dddd"))</f>
        <v/>
      </c>
      <c r="C117" s="19"/>
      <c r="D117" s="19"/>
      <c r="E117" s="19"/>
      <c r="F117" s="19"/>
      <c r="G117" s="19"/>
      <c r="H117" s="19"/>
      <c r="I117" s="20"/>
      <c r="J117" s="21"/>
      <c r="K117" s="21"/>
      <c r="L117" s="19"/>
      <c r="M117" s="16" t="str">
        <f>IF(A117="","",TEXT(A117,"mmm yyyy"))</f>
        <v/>
      </c>
    </row>
    <row r="118" spans="1:13">
      <c r="A118" s="22"/>
      <c r="B118" s="23" t="str">
        <f>IF(A118="","",TEXT(A118,"dddd"))</f>
        <v/>
      </c>
      <c r="C118" s="24"/>
      <c r="D118" s="24"/>
      <c r="E118" s="24"/>
      <c r="F118" s="24"/>
      <c r="G118" s="24"/>
      <c r="H118" s="24"/>
      <c r="I118" s="25"/>
      <c r="J118" s="26"/>
      <c r="K118" s="26"/>
      <c r="L118" s="24"/>
      <c r="M118" s="16" t="str">
        <f>IF(A118="","",TEXT(A118,"mmm yyyy"))</f>
        <v/>
      </c>
    </row>
    <row r="119" spans="1:13">
      <c r="A119" s="17"/>
      <c r="B119" s="18" t="str">
        <f>IF(A119="","",TEXT(A119,"dddd"))</f>
        <v/>
      </c>
      <c r="C119" s="19"/>
      <c r="D119" s="19"/>
      <c r="E119" s="19"/>
      <c r="F119" s="19"/>
      <c r="G119" s="19"/>
      <c r="H119" s="19"/>
      <c r="I119" s="20"/>
      <c r="J119" s="21"/>
      <c r="K119" s="21"/>
      <c r="L119" s="19"/>
      <c r="M119" s="16" t="str">
        <f>IF(A119="","",TEXT(A119,"mmm yyyy"))</f>
        <v/>
      </c>
    </row>
    <row r="120" spans="1:13">
      <c r="A120" s="22"/>
      <c r="B120" s="23" t="str">
        <f>IF(A120="","",TEXT(A120,"dddd"))</f>
        <v/>
      </c>
      <c r="C120" s="24"/>
      <c r="D120" s="24"/>
      <c r="E120" s="24"/>
      <c r="F120" s="24"/>
      <c r="G120" s="24"/>
      <c r="H120" s="24"/>
      <c r="I120" s="25"/>
      <c r="J120" s="26"/>
      <c r="K120" s="26"/>
      <c r="L120" s="24"/>
      <c r="M120" s="16" t="str">
        <f>IF(A120="","",TEXT(A120,"mmm yyyy"))</f>
        <v/>
      </c>
    </row>
    <row r="121" spans="1:13">
      <c r="A121" s="17"/>
      <c r="B121" s="18" t="str">
        <f>IF(A121="","",TEXT(A121,"dddd"))</f>
        <v/>
      </c>
      <c r="C121" s="19"/>
      <c r="D121" s="19"/>
      <c r="E121" s="19"/>
      <c r="F121" s="19"/>
      <c r="G121" s="19"/>
      <c r="H121" s="19"/>
      <c r="I121" s="20"/>
      <c r="J121" s="21"/>
      <c r="K121" s="21"/>
      <c r="L121" s="19"/>
      <c r="M121" s="16" t="str">
        <f>IF(A121="","",TEXT(A121,"mmm yyyy"))</f>
        <v/>
      </c>
    </row>
    <row r="122" spans="1:13">
      <c r="A122" s="22"/>
      <c r="B122" s="23" t="str">
        <f>IF(A122="","",TEXT(A122,"dddd"))</f>
        <v/>
      </c>
      <c r="C122" s="24"/>
      <c r="D122" s="24"/>
      <c r="E122" s="24"/>
      <c r="F122" s="24"/>
      <c r="G122" s="24"/>
      <c r="H122" s="24"/>
      <c r="I122" s="25"/>
      <c r="J122" s="26"/>
      <c r="K122" s="26"/>
      <c r="L122" s="24"/>
      <c r="M122" s="16" t="str">
        <f>IF(A122="","",TEXT(A122,"mmm yyyy"))</f>
        <v/>
      </c>
    </row>
    <row r="123" spans="1:13">
      <c r="A123" s="17"/>
      <c r="B123" s="18" t="str">
        <f>IF(A123="","",TEXT(A123,"dddd"))</f>
        <v/>
      </c>
      <c r="C123" s="19"/>
      <c r="D123" s="19"/>
      <c r="E123" s="19"/>
      <c r="F123" s="19"/>
      <c r="G123" s="19"/>
      <c r="H123" s="19"/>
      <c r="I123" s="20"/>
      <c r="J123" s="21"/>
      <c r="K123" s="21"/>
      <c r="L123" s="19"/>
      <c r="M123" s="16" t="str">
        <f>IF(A123="","",TEXT(A123,"mmm yyyy"))</f>
        <v/>
      </c>
    </row>
    <row r="124" spans="1:13">
      <c r="A124" s="22"/>
      <c r="B124" s="23" t="str">
        <f>IF(A124="","",TEXT(A124,"dddd"))</f>
        <v/>
      </c>
      <c r="C124" s="24"/>
      <c r="D124" s="24"/>
      <c r="E124" s="24"/>
      <c r="F124" s="24"/>
      <c r="G124" s="24"/>
      <c r="H124" s="24"/>
      <c r="I124" s="25"/>
      <c r="J124" s="26"/>
      <c r="K124" s="26"/>
      <c r="L124" s="24"/>
      <c r="M124" s="16" t="str">
        <f>IF(A124="","",TEXT(A124,"mmm yyyy"))</f>
        <v/>
      </c>
    </row>
    <row r="125" spans="1:13">
      <c r="A125" s="17"/>
      <c r="B125" s="18" t="str">
        <f>IF(A125="","",TEXT(A125,"dddd"))</f>
        <v/>
      </c>
      <c r="C125" s="19"/>
      <c r="D125" s="19"/>
      <c r="E125" s="19"/>
      <c r="F125" s="19"/>
      <c r="G125" s="19"/>
      <c r="H125" s="19"/>
      <c r="I125" s="20"/>
      <c r="J125" s="21"/>
      <c r="K125" s="21"/>
      <c r="L125" s="19"/>
      <c r="M125" s="16" t="str">
        <f>IF(A125="","",TEXT(A125,"mmm yyyy"))</f>
        <v/>
      </c>
    </row>
    <row r="126" spans="1:13">
      <c r="A126" s="22"/>
      <c r="B126" s="23" t="str">
        <f>IF(A126="","",TEXT(A126,"dddd"))</f>
        <v/>
      </c>
      <c r="C126" s="24"/>
      <c r="D126" s="24"/>
      <c r="E126" s="24"/>
      <c r="F126" s="24"/>
      <c r="G126" s="24"/>
      <c r="H126" s="24"/>
      <c r="I126" s="25"/>
      <c r="J126" s="26"/>
      <c r="K126" s="26"/>
      <c r="L126" s="24"/>
      <c r="M126" s="16" t="str">
        <f>IF(A126="","",TEXT(A126,"mmm yyyy"))</f>
        <v/>
      </c>
    </row>
    <row r="127" spans="1:13">
      <c r="A127" s="17"/>
      <c r="B127" s="18" t="str">
        <f>IF(A127="","",TEXT(A127,"dddd"))</f>
        <v/>
      </c>
      <c r="C127" s="19"/>
      <c r="D127" s="19"/>
      <c r="E127" s="19"/>
      <c r="F127" s="19"/>
      <c r="G127" s="19"/>
      <c r="H127" s="19"/>
      <c r="I127" s="20"/>
      <c r="J127" s="21"/>
      <c r="K127" s="21"/>
      <c r="L127" s="19"/>
      <c r="M127" s="16" t="str">
        <f>IF(A127="","",TEXT(A127,"mmm yyyy"))</f>
        <v/>
      </c>
    </row>
    <row r="128" spans="1:13">
      <c r="A128" s="22"/>
      <c r="B128" s="23" t="str">
        <f>IF(A128="","",TEXT(A128,"dddd"))</f>
        <v/>
      </c>
      <c r="C128" s="24"/>
      <c r="D128" s="24"/>
      <c r="E128" s="24"/>
      <c r="F128" s="24"/>
      <c r="G128" s="24"/>
      <c r="H128" s="24"/>
      <c r="I128" s="25"/>
      <c r="J128" s="26"/>
      <c r="K128" s="26"/>
      <c r="L128" s="24"/>
      <c r="M128" s="16" t="str">
        <f>IF(A128="","",TEXT(A128,"mmm yyyy"))</f>
        <v/>
      </c>
    </row>
    <row r="129" spans="1:13">
      <c r="A129" s="17"/>
      <c r="B129" s="18" t="str">
        <f>IF(A129="","",TEXT(A129,"dddd"))</f>
        <v/>
      </c>
      <c r="C129" s="19"/>
      <c r="D129" s="19"/>
      <c r="E129" s="19"/>
      <c r="F129" s="19"/>
      <c r="G129" s="19"/>
      <c r="H129" s="19"/>
      <c r="I129" s="20"/>
      <c r="J129" s="21"/>
      <c r="K129" s="21"/>
      <c r="L129" s="19"/>
      <c r="M129" s="16" t="str">
        <f>IF(A129="","",TEXT(A129,"mmm yyyy"))</f>
        <v/>
      </c>
    </row>
    <row r="130" spans="1:13">
      <c r="A130" s="22"/>
      <c r="B130" s="23" t="str">
        <f>IF(A130="","",TEXT(A130,"dddd"))</f>
        <v/>
      </c>
      <c r="C130" s="24"/>
      <c r="D130" s="24"/>
      <c r="E130" s="24"/>
      <c r="F130" s="24"/>
      <c r="G130" s="24"/>
      <c r="H130" s="24"/>
      <c r="I130" s="25"/>
      <c r="J130" s="26"/>
      <c r="K130" s="26"/>
      <c r="L130" s="24"/>
      <c r="M130" s="16" t="str">
        <f>IF(A130="","",TEXT(A130,"mmm yyyy"))</f>
        <v/>
      </c>
    </row>
  </sheetData>
  <mergeCells count="1">
    <mergeCell ref="A1:L1"/>
  </mergeCells>
  <conditionalFormatting sqref="J4:J130">
    <cfRule type="cellIs" dxfId="7" priority="2" operator="equal">
      <formula>"Completed"</formula>
    </cfRule>
    <cfRule type="cellIs" dxfId="6" priority="3" operator="equal">
      <formula>"In Progress"</formula>
    </cfRule>
    <cfRule type="cellIs" dxfId="5" priority="4" operator="equal">
      <formula>"On Hold"</formula>
    </cfRule>
    <cfRule type="cellIs" dxfId="4" priority="5" operator="equal">
      <formula>"Planned"</formula>
    </cfRule>
  </conditionalFormatting>
  <conditionalFormatting sqref="K4:K130">
    <cfRule type="cellIs" dxfId="3" priority="6" operator="equal">
      <formula>"High"</formula>
    </cfRule>
    <cfRule type="cellIs" dxfId="2" priority="7" operator="equal">
      <formula>"Medium"</formula>
    </cfRule>
    <cfRule type="cellIs" dxfId="1" priority="8" operator="equal">
      <formula>"Low"</formula>
    </cfRule>
  </conditionalFormatting>
  <conditionalFormatting sqref="A4:A130">
    <cfRule type="expression" dxfId="0" priority="9">
      <formula>AND(A4&lt;&gt;"",WEEKDAY(A4,2)&gt;5)</formula>
    </cfRule>
  </conditionalFormatting>
  <dataValidations count="6">
    <dataValidation type="list" allowBlank="1" showErrorMessage="1" errorTitle="Invalid entry" error="Please choose a value from the dropdown list." sqref="C4:C130" xr:uid="{00000000-0002-0000-0000-000000000000}">
      <formula1>Work_Type</formula1>
      <formula2>0</formula2>
    </dataValidation>
    <dataValidation type="list" allowBlank="1" showErrorMessage="1" errorTitle="Invalid entry" error="Please choose a value from the dropdown list." sqref="F4:F130" xr:uid="{00000000-0002-0000-0000-000001000000}">
      <formula1>Assigned_By</formula1>
      <formula2>0</formula2>
    </dataValidation>
    <dataValidation type="list" allowBlank="1" showErrorMessage="1" errorTitle="Invalid entry" error="Please choose a value from the dropdown list." sqref="G4:G130" xr:uid="{00000000-0002-0000-0000-000002000000}">
      <formula1>Team_Area</formula1>
      <formula2>0</formula2>
    </dataValidation>
    <dataValidation type="list" allowBlank="1" showErrorMessage="1" errorTitle="Invalid entry" error="Please choose a value from the dropdown list." sqref="H4:H130" xr:uid="{00000000-0002-0000-0000-000003000000}">
      <formula1>Work_Source</formula1>
      <formula2>0</formula2>
    </dataValidation>
    <dataValidation type="list" allowBlank="1" showErrorMessage="1" errorTitle="Invalid entry" error="Please choose a value from the dropdown list." sqref="J4:J130" xr:uid="{00000000-0002-0000-0000-000004000000}">
      <formula1>Status</formula1>
      <formula2>0</formula2>
    </dataValidation>
    <dataValidation type="list" allowBlank="1" showErrorMessage="1" errorTitle="Invalid entry" error="Please choose a value from the dropdown list." sqref="K4:K130" xr:uid="{00000000-0002-0000-0000-000005000000}">
      <formula1>Priority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</sheetPr>
  <dimension ref="A1:H30"/>
  <sheetViews>
    <sheetView showGridLines="0" tabSelected="1" zoomScaleNormal="100" workbookViewId="0">
      <selection activeCell="A2" sqref="A2:XFD2"/>
    </sheetView>
  </sheetViews>
  <sheetFormatPr defaultColWidth="8.7109375" defaultRowHeight="15"/>
  <cols>
    <col min="1" max="8" width="15" customWidth="1"/>
  </cols>
  <sheetData>
    <row r="1" spans="1:8" ht="31.5" customHeight="1">
      <c r="A1" s="13" t="s">
        <v>73</v>
      </c>
      <c r="B1" s="13"/>
      <c r="C1" s="13"/>
      <c r="D1" s="13"/>
      <c r="E1" s="13"/>
      <c r="F1" s="13"/>
      <c r="G1" s="13"/>
      <c r="H1" s="13"/>
    </row>
    <row r="3" spans="1:8" ht="6" customHeight="1">
      <c r="A3" s="27"/>
      <c r="B3" s="27"/>
      <c r="C3" s="27"/>
      <c r="D3" s="27"/>
      <c r="E3" s="27"/>
      <c r="F3" s="27"/>
      <c r="G3" s="27"/>
      <c r="H3" s="27"/>
    </row>
    <row r="4" spans="1:8" ht="30" customHeight="1">
      <c r="A4" s="28" t="s">
        <v>74</v>
      </c>
      <c r="B4" s="29" t="s">
        <v>75</v>
      </c>
      <c r="C4" s="27"/>
      <c r="D4" s="28" t="s">
        <v>76</v>
      </c>
      <c r="E4" s="29" t="s">
        <v>75</v>
      </c>
      <c r="F4" s="27"/>
      <c r="G4" s="12" t="s">
        <v>77</v>
      </c>
      <c r="H4" s="12"/>
    </row>
    <row r="6" spans="1:8" ht="24" customHeight="1">
      <c r="A6" s="11" t="s">
        <v>78</v>
      </c>
      <c r="B6" s="11"/>
      <c r="C6" s="10" t="s">
        <v>79</v>
      </c>
      <c r="D6" s="10"/>
      <c r="E6" s="9" t="s">
        <v>80</v>
      </c>
      <c r="F6" s="9"/>
      <c r="G6" s="8" t="s">
        <v>81</v>
      </c>
      <c r="H6" s="8"/>
    </row>
    <row r="7" spans="1:8">
      <c r="A7" s="7" t="e">
        <f>SUMPRODUCT((WorkTracker[Assigned By]=IF($E$4="All",WorkTracker[Assigned By],$E$4))*(WorkTracker[Month]=IF($B$4="All",WorkTracker[Month],$B$4))*WorkTracker[Hours])</f>
        <v>#REF!</v>
      </c>
      <c r="B7" s="7"/>
      <c r="C7" s="6" t="e">
        <f>SUMPRODUCT((WorkTracker[Assigned By]=IF($E$4="All",WorkTracker[Assigned By],$E$4))*(WorkTracker[Month]=IF($B$4="All",WorkTracker[Month],$B$4))*(WorkTracker[Task]&lt;&gt;""))</f>
        <v>#REF!</v>
      </c>
      <c r="D7" s="6"/>
      <c r="E7" s="5" t="e">
        <f>SUMPRODUCT((WorkTracker[Assigned By]=IF($E$4="All",WorkTracker[Assigned By],$E$4))*(WorkTracker[Month]=IF($B$4="All",WorkTracker[Month],$B$4))*(WorkTracker[Status]="Completed"))</f>
        <v>#REF!</v>
      </c>
      <c r="F7" s="5"/>
      <c r="G7" s="4" t="e">
        <f>SUMPRODUCT((WorkTracker[Assigned By]=IF($E$4="All",WorkTracker[Assigned By],$E$4))*(WorkTracker[Month]=IF($B$4="All",WorkTracker[Month],$B$4))*(WorkTracker[Status]="In Progress"))</f>
        <v>#REF!</v>
      </c>
      <c r="H7" s="4"/>
    </row>
    <row r="8" spans="1:8">
      <c r="A8" s="7"/>
      <c r="B8" s="7"/>
      <c r="C8" s="6"/>
      <c r="D8" s="6"/>
      <c r="E8" s="5"/>
      <c r="F8" s="5"/>
      <c r="G8" s="4"/>
      <c r="H8" s="4"/>
    </row>
    <row r="10" spans="1:8" ht="24" customHeight="1">
      <c r="A10" s="10" t="s">
        <v>82</v>
      </c>
      <c r="B10" s="10"/>
      <c r="C10" s="11" t="s">
        <v>83</v>
      </c>
      <c r="D10" s="11"/>
      <c r="E10" s="8" t="s">
        <v>84</v>
      </c>
      <c r="F10" s="8"/>
      <c r="G10" s="9" t="s">
        <v>85</v>
      </c>
      <c r="H10" s="9"/>
    </row>
    <row r="11" spans="1:8">
      <c r="A11" s="3" t="e">
        <f>SUMPRODUCT((WorkTracker[Assigned By]=IF($E$4="All",WorkTracker[Assigned By],$E$4))*(WorkTracker[Month]=IF($B$4="All",WorkTracker[Month],$B$4))*(WorkTracker[Work Type]="Data Cleaning")*WorkTracker[Hours])</f>
        <v>#REF!</v>
      </c>
      <c r="B11" s="3"/>
      <c r="C11" s="7" t="e">
        <f>SUMPRODUCT((WorkTracker[Assigned By]=IF($E$4="All",WorkTracker[Assigned By],$E$4))*(WorkTracker[Month]=IF($B$4="All",WorkTracker[Month],$B$4))*((WorkTracker[Work Type]="IAAMS Booking")+(WorkTracker[Work Type]="IAAMS Testing"))*WorkTracker[Hours])</f>
        <v>#REF!</v>
      </c>
      <c r="D11" s="7"/>
      <c r="E11" s="2" t="e">
        <f>SUMPRODUCT((WorkTracker[Assigned By]=IF($E$4="All",WorkTracker[Assigned By],$E$4))*(WorkTracker[Month]=IF($B$4="All",WorkTracker[Month],$B$4))*((WorkTracker[Work Type]="Power BI")+(WorkTracker[Work Type]="Learning"))*WorkTracker[Hours])</f>
        <v>#REF!</v>
      </c>
      <c r="F11" s="2"/>
      <c r="G11" s="1">
        <f>IFERROR(A7/C7,0)</f>
        <v>0</v>
      </c>
      <c r="H11" s="1"/>
    </row>
    <row r="12" spans="1:8">
      <c r="A12" s="3"/>
      <c r="B12" s="3"/>
      <c r="C12" s="7"/>
      <c r="D12" s="7"/>
      <c r="E12" s="2"/>
      <c r="F12" s="2"/>
      <c r="G12" s="1"/>
      <c r="H12" s="1"/>
    </row>
    <row r="16" spans="1:8">
      <c r="A16" s="43" t="s">
        <v>86</v>
      </c>
      <c r="B16" s="43"/>
      <c r="C16" s="43"/>
      <c r="D16" s="43"/>
      <c r="E16" s="43"/>
      <c r="F16" s="43"/>
      <c r="G16" s="43"/>
      <c r="H16" s="43"/>
    </row>
    <row r="18" spans="1:5">
      <c r="A18" s="30" t="s">
        <v>3</v>
      </c>
      <c r="B18" s="30" t="s">
        <v>9</v>
      </c>
      <c r="D18" s="30" t="s">
        <v>6</v>
      </c>
      <c r="E18" s="30" t="s">
        <v>9</v>
      </c>
    </row>
    <row r="19" spans="1:5">
      <c r="A19" s="31" t="s">
        <v>27</v>
      </c>
      <c r="B19" s="32" t="e">
        <f>SUMPRODUCT((WorkTracker[Assigned By]=IF($E$4="All",WorkTracker[Assigned By],$E$4))*(WorkTracker[Month]=IF($B$4="All",WorkTracker[Month],$B$4))*(WorkTracker[Work Type]="Data Cleaning")*WorkTracker[Hours])</f>
        <v>#REF!</v>
      </c>
      <c r="D19" s="31" t="s">
        <v>18</v>
      </c>
      <c r="E19" s="32" t="e">
        <f>SUMPRODUCT((WorkTracker[Month]=IF($B$4="All",WorkTracker[Month],$B$4))*(WorkTracker[Assigned By]="Cibi")*WorkTracker[Hours])</f>
        <v>#REF!</v>
      </c>
    </row>
    <row r="20" spans="1:5">
      <c r="A20" s="31" t="s">
        <v>33</v>
      </c>
      <c r="B20" s="32" t="e">
        <f>SUMPRODUCT((WorkTracker[Assigned By]=IF($E$4="All",WorkTracker[Assigned By],$E$4))*(WorkTracker[Month]=IF($B$4="All",WorkTracker[Month],$B$4))*(WorkTracker[Work Type]="IAAMS Booking")*WorkTracker[Hours])</f>
        <v>#REF!</v>
      </c>
      <c r="D20" s="31" t="s">
        <v>35</v>
      </c>
      <c r="E20" s="32" t="e">
        <f>SUMPRODUCT((WorkTracker[Month]=IF($B$4="All",WorkTracker[Month],$B$4))*(WorkTracker[Assigned By]="JP")*WorkTracker[Hours])</f>
        <v>#REF!</v>
      </c>
    </row>
    <row r="21" spans="1:5">
      <c r="A21" s="31" t="s">
        <v>52</v>
      </c>
      <c r="B21" s="32" t="e">
        <f>SUMPRODUCT((WorkTracker[Assigned By]=IF($E$4="All",WorkTracker[Assigned By],$E$4))*(WorkTracker[Month]=IF($B$4="All",WorkTracker[Month],$B$4))*(WorkTracker[Work Type]="Excel")*WorkTracker[Hours])</f>
        <v>#REF!</v>
      </c>
      <c r="D21" s="31" t="s">
        <v>42</v>
      </c>
      <c r="E21" s="32" t="e">
        <f>SUMPRODUCT((WorkTracker[Month]=IF($B$4="All",WorkTracker[Month],$B$4))*(WorkTracker[Assigned By]="Beshido")*WorkTracker[Hours])</f>
        <v>#REF!</v>
      </c>
    </row>
    <row r="22" spans="1:5">
      <c r="A22" s="31" t="s">
        <v>62</v>
      </c>
      <c r="B22" s="32" t="e">
        <f>SUMPRODUCT((WorkTracker[Assigned By]=IF($E$4="All",WorkTracker[Assigned By],$E$4))*(WorkTracker[Month]=IF($B$4="All",WorkTracker[Month],$B$4))*(WorkTracker[Work Type]="Power BI")*WorkTracker[Hours])</f>
        <v>#REF!</v>
      </c>
      <c r="D22" s="31" t="s">
        <v>38</v>
      </c>
      <c r="E22" s="32" t="e">
        <f>SUMPRODUCT((WorkTracker[Month]=IF($B$4="All",WorkTracker[Month],$B$4))*(WorkTracker[Assigned By]="Waseem")*WorkTracker[Hours])</f>
        <v>#REF!</v>
      </c>
    </row>
    <row r="23" spans="1:5">
      <c r="A23" s="31" t="s">
        <v>45</v>
      </c>
      <c r="B23" s="32" t="e">
        <f>SUMPRODUCT((WorkTracker[Assigned By]=IF($E$4="All",WorkTracker[Assigned By],$E$4))*(WorkTracker[Month]=IF($B$4="All",WorkTracker[Month],$B$4))*(WorkTracker[Work Type]="Learning")*WorkTracker[Hours])</f>
        <v>#REF!</v>
      </c>
      <c r="D23" s="31" t="s">
        <v>55</v>
      </c>
      <c r="E23" s="32" t="e">
        <f>SUMPRODUCT((WorkTracker[Month]=IF($B$4="All",WorkTracker[Month],$B$4))*(WorkTracker[Assigned By]="Renjisha")*WorkTracker[Hours])</f>
        <v>#REF!</v>
      </c>
    </row>
    <row r="24" spans="1:5">
      <c r="A24" s="31" t="s">
        <v>58</v>
      </c>
      <c r="B24" s="32" t="e">
        <f>SUMPRODUCT((WorkTracker[Assigned By]=IF($E$4="All",WorkTracker[Assigned By],$E$4))*(WorkTracker[Month]=IF($B$4="All",WorkTracker[Month],$B$4))*(WorkTracker[Work Type]="Training")*WorkTracker[Hours])</f>
        <v>#REF!</v>
      </c>
      <c r="D24" s="31" t="s">
        <v>48</v>
      </c>
      <c r="E24" s="32" t="e">
        <f>SUMPRODUCT((WorkTracker[Month]=IF($B$4="All",WorkTracker[Month],$B$4))*(WorkTracker[Assigned By]="Self")*WorkTracker[Hours])</f>
        <v>#REF!</v>
      </c>
    </row>
    <row r="25" spans="1:5">
      <c r="A25" s="31" t="s">
        <v>65</v>
      </c>
      <c r="B25" s="32" t="e">
        <f>A7-SUMPRODUCT((WorkTracker[Assigned By]=IF($E$4="All",WorkTracker[Assigned By],$E$4))*(WorkTracker[Month]=IF($B$4="All",WorkTracker[Month],$B$4))*((WorkTracker[Work Type]="Data Cleaning")*WorkTracker[Hours]+(WorkTracker[Work Type]="IAAMS Booking")*WorkTracker[Hours]+(WorkTracker[Work Type]="Excel")*WorkTracker[Hours]+(WorkTracker[Work Type]="Power BI")*WorkTracker[Hours]+(WorkTracker[Work Type]="Learning")*WorkTracker[Hours]+(WorkTracker[Work Type]="Training")*WorkTracker[Hours]))</f>
        <v>#REF!</v>
      </c>
    </row>
    <row r="27" spans="1:5">
      <c r="A27" s="30" t="s">
        <v>13</v>
      </c>
      <c r="B27" s="30" t="s">
        <v>9</v>
      </c>
    </row>
    <row r="28" spans="1:5">
      <c r="A28" s="31" t="s">
        <v>87</v>
      </c>
      <c r="B28" s="32" t="e">
        <f>SUMPRODUCT((WorkTracker[Assigned By]=IF($E$4="All",WorkTracker[Assigned By],$E$4))*(WorkTracker[Month]="Jun 2026")*WorkTracker[Hours])</f>
        <v>#REF!</v>
      </c>
    </row>
    <row r="29" spans="1:5">
      <c r="A29" s="31" t="s">
        <v>88</v>
      </c>
      <c r="B29" s="32" t="e">
        <f>SUMPRODUCT((WorkTracker[Assigned By]=IF($E$4="All",WorkTracker[Assigned By],$E$4))*(WorkTracker[Month]="Jul 2026")*WorkTracker[Hours])</f>
        <v>#REF!</v>
      </c>
    </row>
    <row r="30" spans="1:5">
      <c r="A30" s="31" t="s">
        <v>89</v>
      </c>
      <c r="B30" s="32" t="e">
        <f>SUMPRODUCT((WorkTracker[Assigned By]=IF($E$4="All",WorkTracker[Assigned By],$E$4))*(WorkTracker[Month]="Aug 2026")*WorkTracker[Hours])</f>
        <v>#REF!</v>
      </c>
    </row>
  </sheetData>
  <mergeCells count="19">
    <mergeCell ref="A11:B12"/>
    <mergeCell ref="C11:D12"/>
    <mergeCell ref="E11:F12"/>
    <mergeCell ref="G11:H12"/>
    <mergeCell ref="A16:H16"/>
    <mergeCell ref="A7:B8"/>
    <mergeCell ref="C7:D8"/>
    <mergeCell ref="E7:F8"/>
    <mergeCell ref="G7:H8"/>
    <mergeCell ref="A10:B10"/>
    <mergeCell ref="C10:D10"/>
    <mergeCell ref="E10:F10"/>
    <mergeCell ref="G10:H10"/>
    <mergeCell ref="A1:H1"/>
    <mergeCell ref="G4:H4"/>
    <mergeCell ref="A6:B6"/>
    <mergeCell ref="C6:D6"/>
    <mergeCell ref="E6:F6"/>
    <mergeCell ref="G6:H6"/>
  </mergeCells>
  <dataValidations count="2">
    <dataValidation type="list" sqref="B4" xr:uid="{00000000-0002-0000-0100-000000000000}">
      <formula1>"All,Jun 2026,Jul 2026,Aug 2026"</formula1>
      <formula2>0</formula2>
    </dataValidation>
    <dataValidation type="list" sqref="E4" xr:uid="{00000000-0002-0000-0100-000001000000}">
      <formula1>"All,Cibi,JP,Beshido,Waseem,Renjisha,Self"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A8FA3"/>
  </sheetPr>
  <dimension ref="A1:F15"/>
  <sheetViews>
    <sheetView showGridLines="0" zoomScaleNormal="100" workbookViewId="0">
      <pane ySplit="4" topLeftCell="A5" activePane="bottomLeft" state="frozen"/>
      <selection pane="bottomLeft" activeCell="C6" sqref="C6"/>
    </sheetView>
  </sheetViews>
  <sheetFormatPr defaultColWidth="8.7109375" defaultRowHeight="15"/>
  <cols>
    <col min="1" max="6" width="18" customWidth="1"/>
  </cols>
  <sheetData>
    <row r="1" spans="1:6" ht="24" customHeight="1">
      <c r="A1" s="35" t="s">
        <v>90</v>
      </c>
      <c r="B1" s="35"/>
      <c r="C1" s="35"/>
      <c r="D1" s="35"/>
      <c r="E1" s="35"/>
      <c r="F1" s="35"/>
    </row>
    <row r="2" spans="1:6">
      <c r="A2" s="44" t="s">
        <v>91</v>
      </c>
      <c r="B2" s="44"/>
      <c r="C2" s="44"/>
      <c r="D2" s="44"/>
      <c r="E2" s="44"/>
      <c r="F2" s="44"/>
    </row>
    <row r="4" spans="1:6">
      <c r="A4" s="14" t="s">
        <v>3</v>
      </c>
      <c r="B4" s="14" t="s">
        <v>6</v>
      </c>
      <c r="C4" s="14" t="s">
        <v>7</v>
      </c>
      <c r="D4" s="14" t="s">
        <v>8</v>
      </c>
      <c r="E4" s="14" t="s">
        <v>10</v>
      </c>
      <c r="F4" s="14" t="s">
        <v>11</v>
      </c>
    </row>
    <row r="5" spans="1:6">
      <c r="A5" s="33" t="s">
        <v>15</v>
      </c>
      <c r="B5" s="33" t="s">
        <v>18</v>
      </c>
      <c r="C5" s="33" t="s">
        <v>19</v>
      </c>
      <c r="D5" s="33" t="s">
        <v>20</v>
      </c>
      <c r="E5" s="33" t="s">
        <v>92</v>
      </c>
      <c r="F5" s="33" t="s">
        <v>50</v>
      </c>
    </row>
    <row r="6" spans="1:6">
      <c r="A6" s="34" t="s">
        <v>27</v>
      </c>
      <c r="B6" s="34" t="s">
        <v>35</v>
      </c>
      <c r="C6" s="33" t="s">
        <v>43</v>
      </c>
      <c r="D6" s="34" t="s">
        <v>39</v>
      </c>
      <c r="E6" s="34" t="s">
        <v>69</v>
      </c>
      <c r="F6" s="34" t="s">
        <v>22</v>
      </c>
    </row>
    <row r="7" spans="1:6">
      <c r="A7" s="33" t="s">
        <v>33</v>
      </c>
      <c r="B7" s="33" t="s">
        <v>42</v>
      </c>
      <c r="C7" s="34" t="s">
        <v>56</v>
      </c>
      <c r="D7" s="33" t="s">
        <v>44</v>
      </c>
      <c r="E7" s="33" t="s">
        <v>21</v>
      </c>
      <c r="F7" s="33" t="s">
        <v>30</v>
      </c>
    </row>
    <row r="8" spans="1:6">
      <c r="A8" s="34" t="s">
        <v>70</v>
      </c>
      <c r="B8" s="34" t="s">
        <v>38</v>
      </c>
      <c r="C8" t="s">
        <v>36</v>
      </c>
      <c r="D8" s="34" t="s">
        <v>58</v>
      </c>
      <c r="E8" s="34" t="s">
        <v>93</v>
      </c>
    </row>
    <row r="9" spans="1:6">
      <c r="A9" s="33" t="s">
        <v>52</v>
      </c>
      <c r="B9" s="33" t="s">
        <v>68</v>
      </c>
      <c r="C9" s="33" t="s">
        <v>61</v>
      </c>
      <c r="D9" s="33" t="s">
        <v>49</v>
      </c>
    </row>
    <row r="10" spans="1:6">
      <c r="A10" s="34" t="s">
        <v>62</v>
      </c>
      <c r="B10" s="33" t="s">
        <v>55</v>
      </c>
      <c r="C10" s="34" t="s">
        <v>45</v>
      </c>
      <c r="D10" s="34" t="s">
        <v>57</v>
      </c>
    </row>
    <row r="11" spans="1:6">
      <c r="A11" s="33" t="s">
        <v>45</v>
      </c>
      <c r="B11" s="34" t="s">
        <v>48</v>
      </c>
      <c r="C11" s="33" t="s">
        <v>65</v>
      </c>
    </row>
    <row r="12" spans="1:6">
      <c r="A12" s="34" t="s">
        <v>58</v>
      </c>
    </row>
    <row r="13" spans="1:6">
      <c r="A13" s="33" t="s">
        <v>94</v>
      </c>
    </row>
    <row r="14" spans="1:6">
      <c r="A14" s="34" t="s">
        <v>95</v>
      </c>
    </row>
    <row r="15" spans="1:6">
      <c r="A15" s="33" t="s">
        <v>65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2026-08-23T10:45:17Z</dcterms:created>
  <dcterms:modified xsi:type="dcterms:W3CDTF">2026-08-23T11:11:24Z</dcterms:modified>
  <cp:category/>
  <cp:contentStatus/>
</cp:coreProperties>
</file>